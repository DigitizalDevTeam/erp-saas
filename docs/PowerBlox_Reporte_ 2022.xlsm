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2.xml" ContentType="application/vnd.openxmlformats-officedocument.drawing+xml"/>
  <Override PartName="/xl/charts/chart14.xml" ContentType="application/vnd.openxmlformats-officedocument.drawingml.chart+xml"/>
  <Override PartName="/xl/drawings/drawing13.xml" ContentType="application/vnd.openxmlformats-officedocument.drawing+xml"/>
  <Override PartName="/xl/charts/chart15.xml" ContentType="application/vnd.openxmlformats-officedocument.drawingml.chart+xml"/>
  <Override PartName="/xl/drawings/drawing14.xml" ContentType="application/vnd.openxmlformats-officedocument.drawing+xml"/>
  <Override PartName="/xl/charts/chart1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8.xml" ContentType="application/vnd.openxmlformats-officedocument.drawing+xml"/>
  <Override PartName="/xl/charts/chart1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omments1.xml" ContentType="application/vnd.openxmlformats-officedocument.spreadsheetml.comments+xml"/>
  <Override PartName="/xl/drawings/drawing32.xml" ContentType="application/vnd.openxmlformats-officedocument.drawing+xml"/>
  <Override PartName="/xl/comments2.xml" ContentType="application/vnd.openxmlformats-officedocument.spreadsheetml.comments+xml"/>
  <Override PartName="/xl/drawings/drawing33.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harts/chart2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5.xml" ContentType="application/vnd.openxmlformats-officedocument.drawing+xml"/>
  <Override PartName="/xl/charts/chart28.xml" ContentType="application/vnd.openxmlformats-officedocument.drawingml.chart+xml"/>
  <Override PartName="/xl/drawings/drawing36.xml" ContentType="application/vnd.openxmlformats-officedocument.drawing+xml"/>
  <Override PartName="/xl/charts/chart29.xml" ContentType="application/vnd.openxmlformats-officedocument.drawingml.chart+xml"/>
  <Override PartName="/xl/drawings/drawing37.xml" ContentType="application/vnd.openxmlformats-officedocument.drawing+xml"/>
  <Override PartName="/xl/drawings/drawing3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8C4F1C90-05EB-6A55-5F09-09C24B55AC0B}"/>
  <workbookPr codeName="ThisWorkbook"/>
  <mc:AlternateContent xmlns:mc="http://schemas.openxmlformats.org/markup-compatibility/2006">
    <mc:Choice Requires="x15">
      <x15ac:absPath xmlns:x15ac="http://schemas.microsoft.com/office/spreadsheetml/2010/11/ac" url="C:\Users\DAFL Mobile01\Desktop\"/>
    </mc:Choice>
  </mc:AlternateContent>
  <xr:revisionPtr revIDLastSave="0" documentId="13_ncr:1_{3C0DE9C9-AD0D-4ACC-A20D-F38C50E9CD87}" xr6:coauthVersionLast="47" xr6:coauthVersionMax="47" xr10:uidLastSave="{00000000-0000-0000-0000-000000000000}"/>
  <bookViews>
    <workbookView xWindow="-120" yWindow="-120" windowWidth="24240" windowHeight="13020" firstSheet="8" activeTab="8" xr2:uid="{00000000-000D-0000-FFFF-FFFF00000000}"/>
  </bookViews>
  <sheets>
    <sheet name="COVER" sheetId="19" state="hidden" r:id="rId1"/>
    <sheet name="ÍNDICE" sheetId="1" state="hidden" r:id="rId2"/>
    <sheet name="IDENTIFICAÇÃO" sheetId="2" state="hidden" r:id="rId3"/>
    <sheet name="MISSÃO-VISÃO-VALORES" sheetId="3" state="hidden" r:id="rId4"/>
    <sheet name="ESTRUTURA SOCIETÁRIA" sheetId="4" state="hidden" r:id="rId5"/>
    <sheet name="ÓRGÃOS SOCIAIS" sheetId="6" state="hidden" r:id="rId6"/>
    <sheet name="ORGANIGRAMA" sheetId="8" state="hidden" r:id="rId7"/>
    <sheet name="INFORMAÇÃO ESTATÍSTICA" sheetId="9" state="hidden" r:id="rId8"/>
    <sheet name="DETALHE GANHOS E GASTOS" sheetId="11" r:id="rId9"/>
    <sheet name="INFORMAÇÃO FINANCEIRA" sheetId="10" r:id="rId10"/>
    <sheet name="GRÁFICOS" sheetId="12" state="hidden" r:id="rId11"/>
    <sheet name="ESTRUTURA DE BALANÇO" sheetId="15" state="hidden" r:id="rId12"/>
    <sheet name="DETALHE FST" sheetId="14" r:id="rId13"/>
    <sheet name="ENDIVIDAMENTO" sheetId="16" r:id="rId14"/>
    <sheet name="DETALHE EMPRÉSTIMOS" sheetId="18" state="hidden" r:id="rId15"/>
    <sheet name="GARANTIAS E RESPONSABILIDADES" sheetId="34" state="hidden" r:id="rId16"/>
    <sheet name="DIVIDENDOS" sheetId="35" state="hidden" r:id="rId17"/>
    <sheet name="IMPOSTOS" sheetId="36" state="hidden" r:id="rId18"/>
    <sheet name="PARTICIPAÇÕES FINANCEIRAS" sheetId="21" state="hidden" r:id="rId19"/>
    <sheet name="INFO REL. GESTÃO" sheetId="22" state="hidden" r:id="rId20"/>
    <sheet name="ASSEMBLEIAS GERAIS" sheetId="23" state="hidden" r:id="rId21"/>
    <sheet name="RELAT. AUDITOR INDEPENDENTE" sheetId="24" state="hidden" r:id="rId22"/>
    <sheet name="RELAT. CONSELHO FISCAL" sheetId="25" state="hidden" r:id="rId23"/>
    <sheet name="PLANO ESTRATÉGICO" sheetId="26" state="hidden" r:id="rId24"/>
    <sheet name="PLANO ORÇAMENTAL" sheetId="27" r:id="rId25"/>
    <sheet name="MAIORES VAR. ORÇAM." sheetId="29" state="hidden" r:id="rId26"/>
    <sheet name="ORÇAMENTO DE INVESTIMENTOS" sheetId="30" state="hidden" r:id="rId27"/>
    <sheet name="ANÁLISE DUPONT" sheetId="37" state="hidden" r:id="rId28"/>
    <sheet name="RÁCIOS" sheetId="32" r:id="rId29"/>
    <sheet name="MATRIZ DE DESEMPENHO" sheetId="33" r:id="rId30"/>
    <sheet name="DETALHE GANHOS E GASTOS MENSAL" sheetId="38" r:id="rId31"/>
    <sheet name="INFORMAÇÃO FINANCEIRA MENSAL" sheetId="39" r:id="rId32"/>
    <sheet name="GRÁFICOS MENSAL" sheetId="40" state="hidden" r:id="rId33"/>
    <sheet name="Sheet1" sheetId="43" state="hidden" r:id="rId34"/>
    <sheet name="ESTRUTURA DE BALANÇO MENSAL" sheetId="41" state="hidden" r:id="rId35"/>
    <sheet name="DETALHE FST MENSAL" sheetId="42" r:id="rId36"/>
    <sheet name="DOCUMENTOS DE MONITORIA" sheetId="28" state="hidden" r:id="rId37"/>
    <sheet name="Auxiliar" sheetId="5" state="veryHidden" r:id="rId38"/>
  </sheets>
  <definedNames>
    <definedName name="_xlnm.Print_Area" localSheetId="27">'ANÁLISE DUPONT'!$A$2:$V$36</definedName>
    <definedName name="_xlnm.Print_Area" localSheetId="20">'ASSEMBLEIAS GERAIS'!$A$2:$H$50</definedName>
    <definedName name="_xlnm.Print_Area" localSheetId="14">'DETALHE EMPRÉSTIMOS'!$A$2:$Q$28</definedName>
    <definedName name="_xlnm.Print_Area" localSheetId="12">'DETALHE FST'!$A$2:$N$70</definedName>
    <definedName name="_xlnm.Print_Area" localSheetId="35">'DETALHE FST MENSAL'!$A$2:$N$70</definedName>
    <definedName name="_xlnm.Print_Area" localSheetId="8">'DETALHE GANHOS E GASTOS'!$A$2:$N$216</definedName>
    <definedName name="_xlnm.Print_Area" localSheetId="30">'DETALHE GANHOS E GASTOS MENSAL'!$A$2:$V$216</definedName>
    <definedName name="_xlnm.Print_Area" localSheetId="16">DIVIDENDOS!$A$2:$M$53</definedName>
    <definedName name="_xlnm.Print_Area" localSheetId="36">'DOCUMENTOS DE MONITORIA'!$A$2:$R$17</definedName>
    <definedName name="_xlnm.Print_Area" localSheetId="13">ENDIVIDAMENTO!$A$2:$M$232</definedName>
    <definedName name="_xlnm.Print_Area" localSheetId="11">'ESTRUTURA DE BALANÇO'!$A$2:$N$44</definedName>
    <definedName name="_xlnm.Print_Area" localSheetId="34">'ESTRUTURA DE BALANÇO MENSAL'!$A$2:$N$44</definedName>
    <definedName name="_xlnm.Print_Area" localSheetId="4">'ESTRUTURA SOCIETÁRIA'!$A$2:$F$32</definedName>
    <definedName name="_xlnm.Print_Area" localSheetId="15">'GARANTIAS E RESPONSABILIDADES'!$A$2:$H$38</definedName>
    <definedName name="_xlnm.Print_Area" localSheetId="10">GRÁFICOS!$A$2:$N$84</definedName>
    <definedName name="_xlnm.Print_Area" localSheetId="32">'GRÁFICOS MENSAL'!$A$2:$N$84</definedName>
    <definedName name="_xlnm.Print_Area" localSheetId="2">IDENTIFICAÇÃO!$A$2:$H$45</definedName>
    <definedName name="_xlnm.Print_Area" localSheetId="17">IMPOSTOS!$A$2:$M$44</definedName>
    <definedName name="_xlnm.Print_Area" localSheetId="19">'INFO REL. GESTÃO'!$A$2:$H$41</definedName>
    <definedName name="_xlnm.Print_Area" localSheetId="7">'INFORMAÇÃO ESTATÍSTICA'!$A$2:$M$75</definedName>
    <definedName name="_xlnm.Print_Area" localSheetId="9">'INFORMAÇÃO FINANCEIRA'!$A$2:$M$152</definedName>
    <definedName name="_xlnm.Print_Area" localSheetId="31">'INFORMAÇÃO FINANCEIRA MENSAL'!$A$2:$U$152</definedName>
    <definedName name="_xlnm.Print_Area" localSheetId="25">'MAIORES VAR. ORÇAM.'!$A$2:$G$63</definedName>
    <definedName name="_xlnm.Print_Area" localSheetId="29">'MATRIZ DE DESEMPENHO'!$A$2:$N$41</definedName>
    <definedName name="_xlnm.Print_Area" localSheetId="3">'MISSÃO-VISÃO-VALORES'!$A$2:$H$29</definedName>
    <definedName name="_xlnm.Print_Area" localSheetId="26">'ORÇAMENTO DE INVESTIMENTOS'!$A$2:$N$47</definedName>
    <definedName name="_xlnm.Print_Area" localSheetId="6">ORGANIGRAMA!$A$2:$G$15</definedName>
    <definedName name="_xlnm.Print_Area" localSheetId="5">'ÓRGÃOS SOCIAIS'!$A$2:$G$38</definedName>
    <definedName name="_xlnm.Print_Area" localSheetId="18">'PARTICIPAÇÕES FINANCEIRAS'!$A$2:$AV$34</definedName>
    <definedName name="_xlnm.Print_Area" localSheetId="23">'PLANO ESTRATÉGICO'!$A$2:$K$42</definedName>
    <definedName name="_xlnm.Print_Area" localSheetId="24">'PLANO ORÇAMENTAL'!$A$2:$N$223</definedName>
    <definedName name="_xlnm.Print_Area" localSheetId="28">RÁCIOS!$A$2:$M$51</definedName>
    <definedName name="_xlnm.Print_Area" localSheetId="21">'RELAT. AUDITOR INDEPENDENTE'!$A$2:$H$29</definedName>
    <definedName name="_xlnm.Print_Area" localSheetId="22">'RELAT. CONSELHO FISCAL'!$A$2:$H$29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3" i="39" l="1"/>
  <c r="G33" i="39" l="1"/>
  <c r="F33" i="39" l="1"/>
  <c r="E33" i="39" l="1"/>
  <c r="D33" i="39"/>
  <c r="L76" i="39"/>
  <c r="C33" i="39"/>
  <c r="H113" i="38"/>
  <c r="G84" i="39" s="1"/>
  <c r="I113" i="38"/>
  <c r="H84" i="39" s="1"/>
  <c r="J113" i="38"/>
  <c r="I84" i="39" s="1"/>
  <c r="K113" i="38"/>
  <c r="J84" i="39" s="1"/>
  <c r="L113" i="38"/>
  <c r="K84" i="39" s="1"/>
  <c r="M113" i="38"/>
  <c r="L84" i="39" s="1"/>
  <c r="N113" i="38"/>
  <c r="M84" i="39" s="1"/>
  <c r="O113" i="38"/>
  <c r="N84" i="39" s="1"/>
  <c r="H101" i="38"/>
  <c r="I101" i="38"/>
  <c r="J101" i="38"/>
  <c r="K101" i="38"/>
  <c r="L101" i="38"/>
  <c r="M101" i="38"/>
  <c r="N101" i="38"/>
  <c r="O101" i="38"/>
  <c r="H94" i="38"/>
  <c r="I94" i="38"/>
  <c r="J94" i="38"/>
  <c r="K94" i="38"/>
  <c r="L94" i="38"/>
  <c r="M94" i="38"/>
  <c r="N94" i="38"/>
  <c r="O94" i="38"/>
  <c r="H82" i="38"/>
  <c r="I82" i="38"/>
  <c r="J82" i="38"/>
  <c r="K82" i="38"/>
  <c r="L82" i="38"/>
  <c r="M82" i="38"/>
  <c r="N82" i="38"/>
  <c r="O82" i="38"/>
  <c r="O75" i="38"/>
  <c r="H75" i="38"/>
  <c r="I75" i="38"/>
  <c r="J75" i="38"/>
  <c r="K75" i="38"/>
  <c r="L75" i="38"/>
  <c r="M75" i="38"/>
  <c r="N75" i="38"/>
  <c r="H67" i="38"/>
  <c r="I67" i="38"/>
  <c r="J67" i="38"/>
  <c r="K67" i="38"/>
  <c r="L67" i="38"/>
  <c r="M67" i="38"/>
  <c r="N67" i="38"/>
  <c r="O67" i="38"/>
  <c r="H18" i="38"/>
  <c r="G76" i="39" s="1"/>
  <c r="I18" i="38"/>
  <c r="H76" i="39" s="1"/>
  <c r="J18" i="38"/>
  <c r="I76" i="39" s="1"/>
  <c r="K18" i="38"/>
  <c r="J76" i="39" s="1"/>
  <c r="L18" i="38"/>
  <c r="K76" i="39" s="1"/>
  <c r="M18" i="38"/>
  <c r="N18" i="38"/>
  <c r="M76" i="39" s="1"/>
  <c r="O18" i="38"/>
  <c r="N76" i="39" s="1"/>
  <c r="H14" i="38"/>
  <c r="I14" i="38"/>
  <c r="J14" i="38"/>
  <c r="K14" i="38"/>
  <c r="L14" i="38"/>
  <c r="M14" i="38"/>
  <c r="N14" i="38"/>
  <c r="O14" i="38"/>
  <c r="H30" i="38"/>
  <c r="G77" i="39" s="1"/>
  <c r="I30" i="38"/>
  <c r="H77" i="39" s="1"/>
  <c r="J30" i="38"/>
  <c r="I77" i="39" s="1"/>
  <c r="K30" i="38"/>
  <c r="J77" i="39" s="1"/>
  <c r="L30" i="38"/>
  <c r="K77" i="39" s="1"/>
  <c r="M30" i="38"/>
  <c r="L77" i="39" s="1"/>
  <c r="N30" i="38"/>
  <c r="M77" i="39" s="1"/>
  <c r="O30" i="38"/>
  <c r="N77" i="39" s="1"/>
  <c r="G14" i="11" l="1"/>
  <c r="G33" i="10" l="1"/>
  <c r="A4" i="43" l="1"/>
  <c r="N86" i="39"/>
  <c r="M86" i="39"/>
  <c r="L86" i="39"/>
  <c r="K86" i="39"/>
  <c r="J86" i="39"/>
  <c r="I86" i="39"/>
  <c r="H86" i="39"/>
  <c r="G86" i="39"/>
  <c r="F86" i="39"/>
  <c r="E86" i="39"/>
  <c r="D86" i="39"/>
  <c r="C86" i="39"/>
  <c r="N79" i="39"/>
  <c r="M79" i="39"/>
  <c r="L79" i="39"/>
  <c r="K79" i="39"/>
  <c r="J79" i="39"/>
  <c r="I79" i="39"/>
  <c r="H79" i="39"/>
  <c r="G79" i="39"/>
  <c r="N78" i="39"/>
  <c r="M78" i="39"/>
  <c r="L78" i="39"/>
  <c r="K78" i="39"/>
  <c r="J78" i="39"/>
  <c r="I78" i="39"/>
  <c r="H78" i="39"/>
  <c r="G78" i="39"/>
  <c r="G75" i="39"/>
  <c r="H75" i="39"/>
  <c r="I75" i="39"/>
  <c r="J75" i="39"/>
  <c r="K75" i="39"/>
  <c r="L75" i="39"/>
  <c r="M75" i="39"/>
  <c r="N75" i="39"/>
  <c r="P24" i="39"/>
  <c r="P17" i="39"/>
  <c r="P209" i="38"/>
  <c r="P208" i="38"/>
  <c r="P207" i="38"/>
  <c r="P206" i="38"/>
  <c r="P205" i="38"/>
  <c r="P204" i="38"/>
  <c r="P201" i="38"/>
  <c r="Q201" i="38" s="1"/>
  <c r="P200" i="38"/>
  <c r="Q200" i="38" s="1"/>
  <c r="P199" i="38"/>
  <c r="P198" i="38"/>
  <c r="P197" i="38"/>
  <c r="P196" i="38"/>
  <c r="P195" i="38"/>
  <c r="P194" i="38"/>
  <c r="P193" i="38"/>
  <c r="Q193" i="38" s="1"/>
  <c r="P192" i="38"/>
  <c r="Q192" i="38" s="1"/>
  <c r="P189" i="38"/>
  <c r="P188" i="38"/>
  <c r="P187" i="38"/>
  <c r="P186" i="38"/>
  <c r="P185" i="38"/>
  <c r="P184" i="38"/>
  <c r="P183" i="38"/>
  <c r="P182" i="38"/>
  <c r="Q182" i="38" s="1"/>
  <c r="P181" i="38"/>
  <c r="P180" i="38"/>
  <c r="P177" i="38"/>
  <c r="P176" i="38"/>
  <c r="P175" i="38"/>
  <c r="P174" i="38"/>
  <c r="P173" i="38"/>
  <c r="P172" i="38"/>
  <c r="P171" i="38"/>
  <c r="P170" i="38"/>
  <c r="P169" i="38"/>
  <c r="P168" i="38"/>
  <c r="P165" i="38"/>
  <c r="P164" i="38"/>
  <c r="P163" i="38"/>
  <c r="P162" i="38"/>
  <c r="P159" i="38"/>
  <c r="P158" i="38"/>
  <c r="P157" i="38"/>
  <c r="P156" i="38"/>
  <c r="P155" i="38"/>
  <c r="P154" i="38"/>
  <c r="P151" i="38"/>
  <c r="P150" i="38"/>
  <c r="P149" i="38"/>
  <c r="P148" i="38"/>
  <c r="P147" i="38"/>
  <c r="P146" i="38"/>
  <c r="P145" i="38"/>
  <c r="Q145" i="38" s="1"/>
  <c r="P144" i="38"/>
  <c r="Q144" i="38" s="1"/>
  <c r="P141" i="38"/>
  <c r="P140" i="38"/>
  <c r="P139" i="38"/>
  <c r="P138" i="38"/>
  <c r="P137" i="38"/>
  <c r="P136" i="38"/>
  <c r="P135" i="38"/>
  <c r="P134" i="38"/>
  <c r="P133" i="38"/>
  <c r="P132" i="38"/>
  <c r="Q132" i="38" s="1"/>
  <c r="P122" i="38"/>
  <c r="P121" i="38"/>
  <c r="Q121" i="38" s="1"/>
  <c r="P120" i="38"/>
  <c r="P119" i="38"/>
  <c r="P118" i="38"/>
  <c r="P117" i="38"/>
  <c r="P116" i="38"/>
  <c r="P115" i="38"/>
  <c r="Q115" i="38" s="1"/>
  <c r="P114" i="38"/>
  <c r="Q114" i="38" s="1"/>
  <c r="P111" i="38"/>
  <c r="P110" i="38"/>
  <c r="P109" i="38"/>
  <c r="P108" i="38"/>
  <c r="P107" i="38"/>
  <c r="P106" i="38"/>
  <c r="P105" i="38"/>
  <c r="P104" i="38"/>
  <c r="Q104" i="38" s="1"/>
  <c r="P103" i="38"/>
  <c r="P101" i="38" s="1"/>
  <c r="P102" i="38"/>
  <c r="P99" i="38"/>
  <c r="Q99" i="38" s="1"/>
  <c r="P98" i="38"/>
  <c r="P97" i="38"/>
  <c r="P96" i="38"/>
  <c r="P95" i="38"/>
  <c r="P92" i="38"/>
  <c r="P91" i="38"/>
  <c r="P90" i="38"/>
  <c r="P89" i="38"/>
  <c r="P88" i="38"/>
  <c r="P87" i="38"/>
  <c r="P86" i="38"/>
  <c r="P85" i="38"/>
  <c r="Q85" i="38" s="1"/>
  <c r="P84" i="38"/>
  <c r="P83" i="38"/>
  <c r="P79" i="38"/>
  <c r="P78" i="38"/>
  <c r="P77" i="38"/>
  <c r="P76" i="38"/>
  <c r="P72" i="38"/>
  <c r="P71" i="38"/>
  <c r="P70" i="38"/>
  <c r="Q70" i="38" s="1"/>
  <c r="P69" i="38"/>
  <c r="P68" i="38"/>
  <c r="P61" i="38"/>
  <c r="P60" i="38"/>
  <c r="P59" i="38"/>
  <c r="P58" i="38"/>
  <c r="P57" i="38"/>
  <c r="P56" i="38"/>
  <c r="P55" i="38"/>
  <c r="P54" i="38"/>
  <c r="P53" i="38"/>
  <c r="P52" i="38"/>
  <c r="Q52" i="38" s="1"/>
  <c r="P51" i="38"/>
  <c r="Q51" i="38" s="1"/>
  <c r="P50" i="38"/>
  <c r="P49" i="38"/>
  <c r="Q49" i="38" s="1"/>
  <c r="P48" i="38"/>
  <c r="Q48" i="38" s="1"/>
  <c r="P47" i="38"/>
  <c r="P46" i="38"/>
  <c r="P45" i="38"/>
  <c r="P44" i="38"/>
  <c r="Q44" i="38" s="1"/>
  <c r="P43" i="38"/>
  <c r="P42" i="38"/>
  <c r="P41" i="38"/>
  <c r="P40" i="38"/>
  <c r="P39" i="38"/>
  <c r="P38" i="38"/>
  <c r="P37" i="38"/>
  <c r="P36" i="38"/>
  <c r="Q36" i="38" s="1"/>
  <c r="P35" i="38"/>
  <c r="Q35" i="38" s="1"/>
  <c r="P34" i="38"/>
  <c r="P33" i="38"/>
  <c r="Q33" i="38" s="1"/>
  <c r="P32" i="38"/>
  <c r="P31" i="38"/>
  <c r="P27" i="38"/>
  <c r="P26" i="38"/>
  <c r="P25" i="38"/>
  <c r="P24" i="38"/>
  <c r="P23" i="38"/>
  <c r="P22" i="38"/>
  <c r="P21" i="38"/>
  <c r="Q21" i="38" s="1"/>
  <c r="P20" i="38"/>
  <c r="Q20" i="38" s="1"/>
  <c r="P19" i="38"/>
  <c r="P16" i="38"/>
  <c r="P15" i="38"/>
  <c r="Q15" i="38" s="1"/>
  <c r="N56" i="39"/>
  <c r="M56" i="39"/>
  <c r="L56" i="39"/>
  <c r="K56" i="39"/>
  <c r="J56" i="39"/>
  <c r="I56" i="39"/>
  <c r="H56" i="39"/>
  <c r="G56" i="39"/>
  <c r="N50" i="39"/>
  <c r="M50" i="39"/>
  <c r="L50" i="39"/>
  <c r="L63" i="39" s="1"/>
  <c r="K50" i="39"/>
  <c r="K63" i="39" s="1"/>
  <c r="J50" i="39"/>
  <c r="I50" i="39"/>
  <c r="I63" i="39" s="1"/>
  <c r="H50" i="39"/>
  <c r="G50" i="39"/>
  <c r="N27" i="39"/>
  <c r="M27" i="39"/>
  <c r="L27" i="39"/>
  <c r="K27" i="39"/>
  <c r="J27" i="39"/>
  <c r="I27" i="39"/>
  <c r="H27" i="39"/>
  <c r="G27" i="39"/>
  <c r="N16" i="39"/>
  <c r="M16" i="39"/>
  <c r="M35" i="39" s="1"/>
  <c r="L16" i="39"/>
  <c r="K16" i="39"/>
  <c r="K35" i="39" s="1"/>
  <c r="J16" i="39"/>
  <c r="I16" i="39"/>
  <c r="I35" i="39" s="1"/>
  <c r="H16" i="39"/>
  <c r="G16" i="39"/>
  <c r="N12" i="39"/>
  <c r="N72" i="39" s="1"/>
  <c r="N116" i="39" s="1"/>
  <c r="M12" i="39"/>
  <c r="M72" i="39" s="1"/>
  <c r="L3" i="43" s="1"/>
  <c r="L12" i="39"/>
  <c r="L72" i="39" s="1"/>
  <c r="L116" i="39" s="1"/>
  <c r="K12" i="39"/>
  <c r="K72" i="39" s="1"/>
  <c r="K116" i="39" s="1"/>
  <c r="J12" i="39"/>
  <c r="J72" i="39" s="1"/>
  <c r="I12" i="39"/>
  <c r="I72" i="39" s="1"/>
  <c r="H12" i="39"/>
  <c r="H72" i="39" s="1"/>
  <c r="G12" i="39"/>
  <c r="G72" i="39" s="1"/>
  <c r="F12" i="39"/>
  <c r="F72" i="39" s="1"/>
  <c r="F116" i="39" s="1"/>
  <c r="E12" i="39"/>
  <c r="E72" i="39" s="1"/>
  <c r="D3" i="43" s="1"/>
  <c r="D12" i="39"/>
  <c r="D72" i="39" s="1"/>
  <c r="D116" i="39" s="1"/>
  <c r="C12" i="39"/>
  <c r="C72" i="39" s="1"/>
  <c r="B3" i="43" s="1"/>
  <c r="O217" i="38"/>
  <c r="N217" i="38"/>
  <c r="M217" i="38"/>
  <c r="L217" i="38"/>
  <c r="K217" i="38"/>
  <c r="J217" i="38"/>
  <c r="I217" i="38"/>
  <c r="H217" i="38"/>
  <c r="L216" i="38"/>
  <c r="O203" i="38"/>
  <c r="N80" i="39" s="1"/>
  <c r="N203" i="38"/>
  <c r="M80" i="39" s="1"/>
  <c r="M203" i="38"/>
  <c r="L80" i="39" s="1"/>
  <c r="L203" i="38"/>
  <c r="K80" i="39" s="1"/>
  <c r="K203" i="38"/>
  <c r="J80" i="39" s="1"/>
  <c r="J203" i="38"/>
  <c r="I80" i="39" s="1"/>
  <c r="I203" i="38"/>
  <c r="H80" i="39" s="1"/>
  <c r="H203" i="38"/>
  <c r="G80" i="39" s="1"/>
  <c r="O191" i="38"/>
  <c r="N83" i="39" s="1"/>
  <c r="N191" i="38"/>
  <c r="M83" i="39" s="1"/>
  <c r="M191" i="38"/>
  <c r="L83" i="39" s="1"/>
  <c r="L191" i="38"/>
  <c r="K83" i="39" s="1"/>
  <c r="K191" i="38"/>
  <c r="J83" i="39" s="1"/>
  <c r="J191" i="38"/>
  <c r="I83" i="39" s="1"/>
  <c r="I191" i="38"/>
  <c r="H83" i="39" s="1"/>
  <c r="H191" i="38"/>
  <c r="G83" i="39" s="1"/>
  <c r="O179" i="38"/>
  <c r="N179" i="38"/>
  <c r="M179" i="38"/>
  <c r="L179" i="38"/>
  <c r="K179" i="38"/>
  <c r="J179" i="38"/>
  <c r="I179" i="38"/>
  <c r="H179" i="38"/>
  <c r="O167" i="38"/>
  <c r="N167" i="38"/>
  <c r="M167" i="38"/>
  <c r="L167" i="38"/>
  <c r="K167" i="38"/>
  <c r="J167" i="38"/>
  <c r="I167" i="38"/>
  <c r="H167" i="38"/>
  <c r="O161" i="38"/>
  <c r="N161" i="38"/>
  <c r="M161" i="38"/>
  <c r="L161" i="38"/>
  <c r="K161" i="38"/>
  <c r="J161" i="38"/>
  <c r="I161" i="38"/>
  <c r="H161" i="38"/>
  <c r="O153" i="38"/>
  <c r="N81" i="39" s="1"/>
  <c r="N153" i="38"/>
  <c r="M81" i="39" s="1"/>
  <c r="M153" i="38"/>
  <c r="L81" i="39" s="1"/>
  <c r="L153" i="38"/>
  <c r="K81" i="39" s="1"/>
  <c r="K153" i="38"/>
  <c r="J81" i="39" s="1"/>
  <c r="J153" i="38"/>
  <c r="I81" i="39" s="1"/>
  <c r="I153" i="38"/>
  <c r="H81" i="39" s="1"/>
  <c r="H153" i="38"/>
  <c r="G81" i="39" s="1"/>
  <c r="O143" i="38"/>
  <c r="N143" i="38"/>
  <c r="M143" i="38"/>
  <c r="L143" i="38"/>
  <c r="K143" i="38"/>
  <c r="J143" i="38"/>
  <c r="I143" i="38"/>
  <c r="H143" i="38"/>
  <c r="O131" i="38"/>
  <c r="O211" i="38" s="1"/>
  <c r="O216" i="38" s="1"/>
  <c r="O218" i="38" s="1"/>
  <c r="N131" i="38"/>
  <c r="N211" i="38" s="1"/>
  <c r="N216" i="38" s="1"/>
  <c r="N218" i="38" s="1"/>
  <c r="M131" i="38"/>
  <c r="L131" i="38"/>
  <c r="L211" i="38" s="1"/>
  <c r="K131" i="38"/>
  <c r="K211" i="38" s="1"/>
  <c r="K216" i="38" s="1"/>
  <c r="K218" i="38" s="1"/>
  <c r="J131" i="38"/>
  <c r="J211" i="38" s="1"/>
  <c r="J216" i="38" s="1"/>
  <c r="J218" i="38" s="1"/>
  <c r="I131" i="38"/>
  <c r="I211" i="38" s="1"/>
  <c r="I216" i="38" s="1"/>
  <c r="I218" i="38" s="1"/>
  <c r="H131" i="38"/>
  <c r="O127" i="38"/>
  <c r="O214" i="38" s="1"/>
  <c r="N127" i="38"/>
  <c r="N214" i="38" s="1"/>
  <c r="M127" i="38"/>
  <c r="M214" i="38" s="1"/>
  <c r="L127" i="38"/>
  <c r="L214" i="38" s="1"/>
  <c r="K127" i="38"/>
  <c r="K214" i="38" s="1"/>
  <c r="J127" i="38"/>
  <c r="J214" i="38" s="1"/>
  <c r="I127" i="38"/>
  <c r="I214" i="38" s="1"/>
  <c r="H127" i="38"/>
  <c r="H214" i="38" s="1"/>
  <c r="G127" i="38"/>
  <c r="G214" i="38" s="1"/>
  <c r="F127" i="38"/>
  <c r="F214" i="38" s="1"/>
  <c r="E127" i="38"/>
  <c r="E214" i="38" s="1"/>
  <c r="D127" i="38"/>
  <c r="D214" i="38" s="1"/>
  <c r="I9" i="42"/>
  <c r="D5" i="42"/>
  <c r="F3" i="42"/>
  <c r="H10" i="42" s="1"/>
  <c r="G10" i="42" s="1"/>
  <c r="D5" i="41"/>
  <c r="F3" i="41"/>
  <c r="D5" i="40"/>
  <c r="F3" i="40"/>
  <c r="O142" i="39"/>
  <c r="F142" i="39"/>
  <c r="E142" i="39"/>
  <c r="D142" i="39"/>
  <c r="C142" i="39"/>
  <c r="O135" i="39"/>
  <c r="F135" i="39"/>
  <c r="E135" i="39"/>
  <c r="D135" i="39"/>
  <c r="C135" i="39"/>
  <c r="O130" i="39"/>
  <c r="F130" i="39"/>
  <c r="E130" i="39"/>
  <c r="D130" i="39"/>
  <c r="C130" i="39"/>
  <c r="O113" i="39"/>
  <c r="P92" i="39"/>
  <c r="O86" i="39"/>
  <c r="O107" i="39" s="1"/>
  <c r="E107" i="39"/>
  <c r="D107" i="39"/>
  <c r="C107" i="39"/>
  <c r="P71" i="39"/>
  <c r="P62" i="39"/>
  <c r="P61" i="39"/>
  <c r="P60" i="39"/>
  <c r="P59" i="39"/>
  <c r="P58" i="39"/>
  <c r="P57" i="39"/>
  <c r="O56" i="39"/>
  <c r="F56" i="39"/>
  <c r="E56" i="39"/>
  <c r="D56" i="39"/>
  <c r="C56" i="39"/>
  <c r="P55" i="39"/>
  <c r="P54" i="39"/>
  <c r="P53" i="39"/>
  <c r="P52" i="39"/>
  <c r="P51" i="39"/>
  <c r="O50" i="39"/>
  <c r="F50" i="39"/>
  <c r="E50" i="39"/>
  <c r="D50" i="39"/>
  <c r="C50" i="39"/>
  <c r="P46" i="39"/>
  <c r="P43" i="39"/>
  <c r="P42" i="39"/>
  <c r="P41" i="39"/>
  <c r="P40" i="39"/>
  <c r="P33" i="39"/>
  <c r="P32" i="39"/>
  <c r="P31" i="39"/>
  <c r="P30" i="39"/>
  <c r="P29" i="39"/>
  <c r="P28" i="39"/>
  <c r="O27" i="39"/>
  <c r="F27" i="39"/>
  <c r="E27" i="39"/>
  <c r="D27" i="39"/>
  <c r="C27" i="39"/>
  <c r="P25" i="39"/>
  <c r="P23" i="39"/>
  <c r="P22" i="39"/>
  <c r="P21" i="39"/>
  <c r="P20" i="39"/>
  <c r="P19" i="39"/>
  <c r="P18" i="39"/>
  <c r="F16" i="39"/>
  <c r="E16" i="39"/>
  <c r="D16" i="39"/>
  <c r="C16" i="39"/>
  <c r="P11" i="39"/>
  <c r="C5" i="39"/>
  <c r="O12" i="39"/>
  <c r="Q219" i="38"/>
  <c r="Q213" i="38"/>
  <c r="Q210" i="38"/>
  <c r="Q209" i="38"/>
  <c r="Q207" i="38"/>
  <c r="Q206" i="38"/>
  <c r="Q205" i="38"/>
  <c r="Q204" i="38"/>
  <c r="G203" i="38"/>
  <c r="F203" i="38"/>
  <c r="E203" i="38"/>
  <c r="D203" i="38"/>
  <c r="Q202" i="38"/>
  <c r="Q199" i="38"/>
  <c r="Q198" i="38"/>
  <c r="Q197" i="38"/>
  <c r="Q196" i="38"/>
  <c r="Q195" i="38"/>
  <c r="Q194" i="38"/>
  <c r="G191" i="38"/>
  <c r="F83" i="39" s="1"/>
  <c r="F191" i="38"/>
  <c r="E83" i="39" s="1"/>
  <c r="E191" i="38"/>
  <c r="D83" i="39" s="1"/>
  <c r="D191" i="38"/>
  <c r="C83" i="39" s="1"/>
  <c r="Q190" i="38"/>
  <c r="Q189" i="38"/>
  <c r="Q188" i="38"/>
  <c r="Q187" i="38"/>
  <c r="Q186" i="38"/>
  <c r="Q185" i="38"/>
  <c r="Q184" i="38"/>
  <c r="Q183" i="38"/>
  <c r="Q181" i="38"/>
  <c r="Q180" i="38"/>
  <c r="G179" i="38"/>
  <c r="F179" i="38"/>
  <c r="E179" i="38"/>
  <c r="D179" i="38"/>
  <c r="Q178" i="38"/>
  <c r="Q177" i="38"/>
  <c r="Q176" i="38"/>
  <c r="Q175" i="38"/>
  <c r="Q174" i="38"/>
  <c r="Q173" i="38"/>
  <c r="Q172" i="38"/>
  <c r="Q171" i="38"/>
  <c r="Q170" i="38"/>
  <c r="Q169" i="38"/>
  <c r="Q168" i="38"/>
  <c r="P167" i="38"/>
  <c r="G167" i="38"/>
  <c r="F167" i="38"/>
  <c r="E167" i="38"/>
  <c r="D167" i="38"/>
  <c r="Q166" i="38"/>
  <c r="Q164" i="38"/>
  <c r="Q163" i="38"/>
  <c r="Q162" i="38"/>
  <c r="G161" i="38"/>
  <c r="F161" i="38"/>
  <c r="E161" i="38"/>
  <c r="D161" i="38"/>
  <c r="Q160" i="38"/>
  <c r="Q158" i="38"/>
  <c r="Q157" i="38"/>
  <c r="Q156" i="38"/>
  <c r="Q155" i="38"/>
  <c r="Q154" i="38"/>
  <c r="G153" i="38"/>
  <c r="F153" i="38"/>
  <c r="E153" i="38"/>
  <c r="D153" i="38"/>
  <c r="Q152" i="38"/>
  <c r="Q151" i="38"/>
  <c r="Q150" i="38"/>
  <c r="Q149" i="38"/>
  <c r="Q148" i="38"/>
  <c r="Q147" i="38"/>
  <c r="Q146" i="38"/>
  <c r="G143" i="38"/>
  <c r="F143" i="38"/>
  <c r="E143" i="38"/>
  <c r="D143" i="38"/>
  <c r="Q142" i="38"/>
  <c r="Q141" i="38"/>
  <c r="Q140" i="38"/>
  <c r="Q139" i="38"/>
  <c r="Q138" i="38"/>
  <c r="Q137" i="38"/>
  <c r="Q136" i="38"/>
  <c r="Q135" i="38"/>
  <c r="Q134" i="38"/>
  <c r="Q133" i="38"/>
  <c r="G131" i="38"/>
  <c r="F74" i="39" s="1"/>
  <c r="F131" i="38"/>
  <c r="E131" i="38"/>
  <c r="D131" i="38"/>
  <c r="C74" i="39" s="1"/>
  <c r="B4" i="43" s="1"/>
  <c r="Q126" i="38"/>
  <c r="Q123" i="38"/>
  <c r="Q122" i="38"/>
  <c r="Q120" i="38"/>
  <c r="Q119" i="38"/>
  <c r="Q118" i="38"/>
  <c r="Q117" i="38"/>
  <c r="Q116" i="38"/>
  <c r="G113" i="38"/>
  <c r="F84" i="39" s="1"/>
  <c r="F113" i="38"/>
  <c r="E84" i="39" s="1"/>
  <c r="E113" i="38"/>
  <c r="D84" i="39" s="1"/>
  <c r="D113" i="38"/>
  <c r="C84" i="39" s="1"/>
  <c r="Q112" i="38"/>
  <c r="Q111" i="38"/>
  <c r="Q110" i="38"/>
  <c r="Q109" i="38"/>
  <c r="Q108" i="38"/>
  <c r="Q107" i="38"/>
  <c r="Q106" i="38"/>
  <c r="Q105" i="38"/>
  <c r="Q103" i="38"/>
  <c r="Q102" i="38"/>
  <c r="G101" i="38"/>
  <c r="F101" i="38"/>
  <c r="E101" i="38"/>
  <c r="D101" i="38"/>
  <c r="Q100" i="38"/>
  <c r="Q98" i="38"/>
  <c r="Q97" i="38"/>
  <c r="Q96" i="38"/>
  <c r="Q95" i="38"/>
  <c r="P94" i="38"/>
  <c r="G94" i="38"/>
  <c r="F94" i="38"/>
  <c r="E94" i="38"/>
  <c r="D94" i="38"/>
  <c r="Q93" i="38"/>
  <c r="Q92" i="38"/>
  <c r="Q91" i="38"/>
  <c r="Q90" i="38"/>
  <c r="Q89" i="38"/>
  <c r="Q88" i="38"/>
  <c r="Q87" i="38"/>
  <c r="Q86" i="38"/>
  <c r="Q84" i="38"/>
  <c r="Q83" i="38"/>
  <c r="G82" i="38"/>
  <c r="F79" i="39" s="1"/>
  <c r="F82" i="38"/>
  <c r="E79" i="39" s="1"/>
  <c r="E82" i="38"/>
  <c r="D79" i="39" s="1"/>
  <c r="D82" i="38"/>
  <c r="C79" i="39" s="1"/>
  <c r="Q81" i="38"/>
  <c r="Q80" i="38"/>
  <c r="Q79" i="38"/>
  <c r="Q78" i="38"/>
  <c r="Q77" i="38"/>
  <c r="Q76" i="38"/>
  <c r="G75" i="38"/>
  <c r="F78" i="39" s="1"/>
  <c r="F102" i="39" s="1"/>
  <c r="F75" i="38"/>
  <c r="E78" i="39" s="1"/>
  <c r="E102" i="39" s="1"/>
  <c r="E75" i="38"/>
  <c r="D78" i="39" s="1"/>
  <c r="D102" i="39" s="1"/>
  <c r="D75" i="38"/>
  <c r="C78" i="39" s="1"/>
  <c r="C102" i="39" s="1"/>
  <c r="Q74" i="38"/>
  <c r="Q73" i="38"/>
  <c r="Q72" i="38"/>
  <c r="Q71" i="38"/>
  <c r="Q69" i="38"/>
  <c r="Q68" i="38"/>
  <c r="G67" i="38"/>
  <c r="F67" i="38"/>
  <c r="E67" i="38"/>
  <c r="D67" i="38"/>
  <c r="Q66" i="38"/>
  <c r="Q65" i="38"/>
  <c r="Q64" i="38"/>
  <c r="Q63" i="38"/>
  <c r="Q62" i="38"/>
  <c r="Q61" i="38"/>
  <c r="Q60" i="38"/>
  <c r="Q59" i="38"/>
  <c r="Q58" i="38"/>
  <c r="Q57" i="38"/>
  <c r="Q55" i="38"/>
  <c r="Q54" i="38"/>
  <c r="Q53" i="38"/>
  <c r="Q50" i="38"/>
  <c r="Q47" i="38"/>
  <c r="Q46" i="38"/>
  <c r="Q45" i="38"/>
  <c r="Q43" i="38"/>
  <c r="Q42" i="38"/>
  <c r="Q40" i="38"/>
  <c r="Q39" i="38"/>
  <c r="Q38" i="38"/>
  <c r="Q32" i="38"/>
  <c r="Q31" i="38"/>
  <c r="G30" i="38"/>
  <c r="F77" i="39" s="1"/>
  <c r="F30" i="38"/>
  <c r="E77" i="39" s="1"/>
  <c r="E30" i="38"/>
  <c r="D77" i="39" s="1"/>
  <c r="D30" i="38"/>
  <c r="C77" i="39" s="1"/>
  <c r="Q29" i="38"/>
  <c r="Q28" i="38"/>
  <c r="Q27" i="38"/>
  <c r="Q26" i="38"/>
  <c r="Q25" i="38"/>
  <c r="Q24" i="38"/>
  <c r="Q23" i="38"/>
  <c r="Q22" i="38"/>
  <c r="Q19" i="38"/>
  <c r="G18" i="38"/>
  <c r="F76" i="39" s="1"/>
  <c r="F18" i="38"/>
  <c r="E76" i="39" s="1"/>
  <c r="E18" i="38"/>
  <c r="D76" i="39" s="1"/>
  <c r="D18" i="38"/>
  <c r="C76" i="39" s="1"/>
  <c r="Q17" i="38"/>
  <c r="Q16" i="38"/>
  <c r="P14" i="38"/>
  <c r="G14" i="38"/>
  <c r="F75" i="39" s="1"/>
  <c r="F99" i="39" s="1"/>
  <c r="F14" i="38"/>
  <c r="E75" i="39" s="1"/>
  <c r="E99" i="39" s="1"/>
  <c r="E14" i="38"/>
  <c r="D75" i="39" s="1"/>
  <c r="D99" i="39" s="1"/>
  <c r="D14" i="38"/>
  <c r="C75" i="39" s="1"/>
  <c r="Q9" i="38"/>
  <c r="D5" i="38"/>
  <c r="P127" i="38"/>
  <c r="C9" i="2"/>
  <c r="P75" i="38" l="1"/>
  <c r="F80" i="39"/>
  <c r="E81" i="39"/>
  <c r="C80" i="39"/>
  <c r="C81" i="39"/>
  <c r="D80" i="39"/>
  <c r="D81" i="39"/>
  <c r="E80" i="39"/>
  <c r="L218" i="38"/>
  <c r="H211" i="38"/>
  <c r="H216" i="38" s="1"/>
  <c r="H218" i="38" s="1"/>
  <c r="O77" i="39"/>
  <c r="O76" i="39"/>
  <c r="N63" i="39"/>
  <c r="N35" i="39"/>
  <c r="M63" i="39"/>
  <c r="L35" i="39"/>
  <c r="J35" i="39"/>
  <c r="H63" i="39"/>
  <c r="H35" i="39"/>
  <c r="M211" i="38"/>
  <c r="M216" i="38" s="1"/>
  <c r="M218" i="38" s="1"/>
  <c r="O75" i="39"/>
  <c r="O99" i="39" s="1"/>
  <c r="P99" i="39" s="1"/>
  <c r="C99" i="39"/>
  <c r="F3" i="43"/>
  <c r="G116" i="39"/>
  <c r="F98" i="39"/>
  <c r="E4" i="43"/>
  <c r="G3" i="43"/>
  <c r="H116" i="39"/>
  <c r="H3" i="43"/>
  <c r="I116" i="39"/>
  <c r="J116" i="39"/>
  <c r="I3" i="43"/>
  <c r="K3" i="43"/>
  <c r="C3" i="43"/>
  <c r="F81" i="39"/>
  <c r="O81" i="39" s="1"/>
  <c r="P81" i="39" s="1"/>
  <c r="N74" i="39"/>
  <c r="J3" i="43"/>
  <c r="P161" i="38"/>
  <c r="M74" i="39"/>
  <c r="L4" i="43" s="1"/>
  <c r="L74" i="39"/>
  <c r="K4" i="43" s="1"/>
  <c r="D74" i="39"/>
  <c r="C4" i="43" s="1"/>
  <c r="C116" i="39"/>
  <c r="K74" i="39"/>
  <c r="E74" i="39"/>
  <c r="P203" i="38"/>
  <c r="J74" i="39"/>
  <c r="I4" i="43" s="1"/>
  <c r="O78" i="39"/>
  <c r="O102" i="39" s="1"/>
  <c r="P102" i="39" s="1"/>
  <c r="E116" i="39"/>
  <c r="M116" i="39"/>
  <c r="P153" i="38"/>
  <c r="I74" i="39"/>
  <c r="H4" i="43" s="1"/>
  <c r="M3" i="43"/>
  <c r="E3" i="43"/>
  <c r="G74" i="39"/>
  <c r="F4" i="43" s="1"/>
  <c r="E5" i="43" s="1"/>
  <c r="O84" i="39"/>
  <c r="S53" i="38"/>
  <c r="O83" i="39"/>
  <c r="P83" i="39" s="1"/>
  <c r="S46" i="38"/>
  <c r="S50" i="38"/>
  <c r="Q56" i="38"/>
  <c r="S32" i="38"/>
  <c r="S35" i="38"/>
  <c r="S39" i="38"/>
  <c r="S37" i="38"/>
  <c r="Q34" i="38"/>
  <c r="S40" i="38"/>
  <c r="S38" i="38"/>
  <c r="P76" i="39"/>
  <c r="F35" i="39"/>
  <c r="F94" i="39" s="1"/>
  <c r="S48" i="38"/>
  <c r="G63" i="39"/>
  <c r="G35" i="39"/>
  <c r="S44" i="38"/>
  <c r="S42" i="38"/>
  <c r="P30" i="38"/>
  <c r="Q30" i="38" s="1"/>
  <c r="Q41" i="38"/>
  <c r="S41" i="38"/>
  <c r="S43" i="38"/>
  <c r="S47" i="38"/>
  <c r="S49" i="38"/>
  <c r="S51" i="38"/>
  <c r="S45" i="38"/>
  <c r="S52" i="38"/>
  <c r="S54" i="38"/>
  <c r="S31" i="38"/>
  <c r="S33" i="38"/>
  <c r="S36" i="38"/>
  <c r="S34" i="38"/>
  <c r="S61" i="38"/>
  <c r="S56" i="38"/>
  <c r="S58" i="38"/>
  <c r="S60" i="38"/>
  <c r="S62" i="38"/>
  <c r="Q37" i="38"/>
  <c r="S55" i="38"/>
  <c r="S57" i="38"/>
  <c r="S59" i="38"/>
  <c r="S65" i="38"/>
  <c r="S64" i="38"/>
  <c r="J63" i="39"/>
  <c r="S63" i="38"/>
  <c r="S66" i="38"/>
  <c r="B5" i="43"/>
  <c r="D4" i="43"/>
  <c r="D5" i="43" s="1"/>
  <c r="E98" i="39"/>
  <c r="G82" i="39"/>
  <c r="G85" i="39" s="1"/>
  <c r="G87" i="39" s="1"/>
  <c r="P77" i="39"/>
  <c r="O79" i="39"/>
  <c r="P79" i="39" s="1"/>
  <c r="O80" i="39"/>
  <c r="P80" i="39" s="1"/>
  <c r="L82" i="39"/>
  <c r="L85" i="39" s="1"/>
  <c r="L87" i="39" s="1"/>
  <c r="H74" i="39"/>
  <c r="O74" i="39" s="1"/>
  <c r="P131" i="38"/>
  <c r="O16" i="39"/>
  <c r="O35" i="39" s="1"/>
  <c r="O94" i="39" s="1"/>
  <c r="Q208" i="38"/>
  <c r="P191" i="38"/>
  <c r="Q191" i="38" s="1"/>
  <c r="P179" i="38"/>
  <c r="Q165" i="38"/>
  <c r="Q159" i="38"/>
  <c r="P143" i="38"/>
  <c r="Q143" i="38" s="1"/>
  <c r="P113" i="38"/>
  <c r="Q113" i="38" s="1"/>
  <c r="P82" i="38"/>
  <c r="Q82" i="38" s="1"/>
  <c r="P67" i="38"/>
  <c r="Q67" i="38" s="1"/>
  <c r="P18" i="38"/>
  <c r="E35" i="39"/>
  <c r="E94" i="39" s="1"/>
  <c r="P86" i="39"/>
  <c r="D105" i="39"/>
  <c r="D63" i="39"/>
  <c r="D95" i="39" s="1"/>
  <c r="E144" i="39"/>
  <c r="F144" i="39"/>
  <c r="C105" i="39"/>
  <c r="C63" i="39"/>
  <c r="C95" i="39" s="1"/>
  <c r="E105" i="39"/>
  <c r="D35" i="39"/>
  <c r="D94" i="39" s="1"/>
  <c r="E63" i="39"/>
  <c r="E95" i="39" s="1"/>
  <c r="P27" i="39"/>
  <c r="P50" i="39"/>
  <c r="O144" i="39"/>
  <c r="P56" i="39"/>
  <c r="C82" i="39"/>
  <c r="C85" i="39" s="1"/>
  <c r="C87" i="39" s="1"/>
  <c r="C35" i="39"/>
  <c r="C94" i="39" s="1"/>
  <c r="D82" i="39"/>
  <c r="D101" i="39" s="1"/>
  <c r="D103" i="39" s="1"/>
  <c r="O63" i="39"/>
  <c r="O95" i="39" s="1"/>
  <c r="C144" i="39"/>
  <c r="C147" i="39" s="1"/>
  <c r="D146" i="39" s="1"/>
  <c r="F105" i="39"/>
  <c r="D144" i="39"/>
  <c r="I220" i="38"/>
  <c r="J221" i="38"/>
  <c r="J220" i="38"/>
  <c r="J222" i="38" s="1"/>
  <c r="K221" i="38"/>
  <c r="K220" i="38"/>
  <c r="K222" i="38" s="1"/>
  <c r="L221" i="38"/>
  <c r="L220" i="38"/>
  <c r="L222" i="38" s="1"/>
  <c r="H220" i="38"/>
  <c r="M221" i="38"/>
  <c r="M220" i="38"/>
  <c r="M222" i="38" s="1"/>
  <c r="N220" i="38"/>
  <c r="N222" i="38" s="1"/>
  <c r="N221" i="38"/>
  <c r="O221" i="38"/>
  <c r="O220" i="38"/>
  <c r="O222" i="38" s="1"/>
  <c r="Q161" i="38"/>
  <c r="D124" i="38"/>
  <c r="D217" i="38" s="1"/>
  <c r="Q153" i="38"/>
  <c r="Q167" i="38"/>
  <c r="Q179" i="38"/>
  <c r="Q203" i="38"/>
  <c r="E124" i="38"/>
  <c r="E217" i="38" s="1"/>
  <c r="Q75" i="38"/>
  <c r="Q94" i="38"/>
  <c r="Q101" i="38"/>
  <c r="G211" i="38"/>
  <c r="G216" i="38" s="1"/>
  <c r="D211" i="38"/>
  <c r="D216" i="38" s="1"/>
  <c r="F124" i="38"/>
  <c r="F217" i="38" s="1"/>
  <c r="E211" i="38"/>
  <c r="E216" i="38" s="1"/>
  <c r="F211" i="38"/>
  <c r="F216" i="38" s="1"/>
  <c r="P10" i="38"/>
  <c r="Q10" i="38" s="1"/>
  <c r="F10" i="42"/>
  <c r="E10" i="42" s="1"/>
  <c r="D10" i="42" s="1"/>
  <c r="I10" i="42"/>
  <c r="P12" i="39"/>
  <c r="E100" i="39"/>
  <c r="F100" i="39"/>
  <c r="E82" i="39"/>
  <c r="F63" i="39"/>
  <c r="F107" i="39"/>
  <c r="P107" i="39" s="1"/>
  <c r="C98" i="39"/>
  <c r="C100" i="39" s="1"/>
  <c r="D98" i="39"/>
  <c r="D100" i="39" s="1"/>
  <c r="O72" i="39"/>
  <c r="O116" i="39"/>
  <c r="G124" i="38"/>
  <c r="Q14" i="38"/>
  <c r="Q127" i="38"/>
  <c r="P214" i="38"/>
  <c r="E3" i="18"/>
  <c r="H5" i="43" l="1"/>
  <c r="F82" i="39"/>
  <c r="F101" i="39" s="1"/>
  <c r="P78" i="39"/>
  <c r="P75" i="39"/>
  <c r="O105" i="39"/>
  <c r="P105" i="39" s="1"/>
  <c r="P84" i="39"/>
  <c r="O98" i="39"/>
  <c r="P98" i="39" s="1"/>
  <c r="P74" i="39"/>
  <c r="M82" i="39"/>
  <c r="M85" i="39" s="1"/>
  <c r="M87" i="39" s="1"/>
  <c r="J82" i="39"/>
  <c r="J85" i="39" s="1"/>
  <c r="J87" i="39" s="1"/>
  <c r="K5" i="43"/>
  <c r="I82" i="39"/>
  <c r="I85" i="39" s="1"/>
  <c r="I87" i="39" s="1"/>
  <c r="M4" i="43"/>
  <c r="N82" i="39"/>
  <c r="N85" i="39" s="1"/>
  <c r="N87" i="39" s="1"/>
  <c r="J4" i="43"/>
  <c r="I5" i="43" s="1"/>
  <c r="K82" i="39"/>
  <c r="K85" i="39" s="1"/>
  <c r="K87" i="39" s="1"/>
  <c r="D218" i="38"/>
  <c r="D220" i="38" s="1"/>
  <c r="F218" i="38"/>
  <c r="F220" i="38" s="1"/>
  <c r="P124" i="38"/>
  <c r="P217" i="38" s="1"/>
  <c r="P211" i="38"/>
  <c r="P216" i="38" s="1"/>
  <c r="Q216" i="38" s="1"/>
  <c r="H82" i="39"/>
  <c r="H85" i="39" s="1"/>
  <c r="H87" i="39" s="1"/>
  <c r="G4" i="43"/>
  <c r="T48" i="38"/>
  <c r="T65" i="38"/>
  <c r="T61" i="38"/>
  <c r="T55" i="38"/>
  <c r="T50" i="38"/>
  <c r="T63" i="38"/>
  <c r="T37" i="38"/>
  <c r="T58" i="38"/>
  <c r="T62" i="38"/>
  <c r="T59" i="38"/>
  <c r="T35" i="38"/>
  <c r="T54" i="38"/>
  <c r="T64" i="38"/>
  <c r="T51" i="38"/>
  <c r="T31" i="38"/>
  <c r="T60" i="38"/>
  <c r="T66" i="38"/>
  <c r="T49" i="38"/>
  <c r="T43" i="38"/>
  <c r="T39" i="38"/>
  <c r="T52" i="38"/>
  <c r="T33" i="38"/>
  <c r="T40" i="38"/>
  <c r="T56" i="38"/>
  <c r="T44" i="38"/>
  <c r="T32" i="38"/>
  <c r="T53" i="38"/>
  <c r="T38" i="38"/>
  <c r="T47" i="38"/>
  <c r="T46" i="38"/>
  <c r="T42" i="38"/>
  <c r="T36" i="38"/>
  <c r="T45" i="38"/>
  <c r="T34" i="38"/>
  <c r="T57" i="38"/>
  <c r="T41" i="38"/>
  <c r="Q18" i="38"/>
  <c r="O82" i="39"/>
  <c r="P82" i="39" s="1"/>
  <c r="C5" i="43"/>
  <c r="Q131" i="38"/>
  <c r="P35" i="39"/>
  <c r="P16" i="39"/>
  <c r="P94" i="39"/>
  <c r="C101" i="39"/>
  <c r="C103" i="39" s="1"/>
  <c r="C106" i="39" s="1"/>
  <c r="C108" i="39" s="1"/>
  <c r="C109" i="39" s="1"/>
  <c r="D85" i="39"/>
  <c r="D87" i="39" s="1"/>
  <c r="D147" i="39"/>
  <c r="D148" i="39" s="1"/>
  <c r="C148" i="39"/>
  <c r="E218" i="38"/>
  <c r="C44" i="39"/>
  <c r="C39" i="39" s="1"/>
  <c r="C48" i="39" s="1"/>
  <c r="P72" i="39"/>
  <c r="P63" i="39"/>
  <c r="F95" i="39"/>
  <c r="P95" i="39" s="1"/>
  <c r="D104" i="39"/>
  <c r="D106" i="39"/>
  <c r="D108" i="39" s="1"/>
  <c r="D109" i="39" s="1"/>
  <c r="E101" i="39"/>
  <c r="E103" i="39" s="1"/>
  <c r="E85" i="39"/>
  <c r="E87" i="39" s="1"/>
  <c r="G217" i="38"/>
  <c r="Q214" i="38"/>
  <c r="G86" i="10"/>
  <c r="F86" i="10"/>
  <c r="E86" i="10"/>
  <c r="D86" i="10"/>
  <c r="C86" i="10"/>
  <c r="I219" i="11"/>
  <c r="F85" i="39" l="1"/>
  <c r="F87" i="39" s="1"/>
  <c r="D44" i="39"/>
  <c r="D39" i="39" s="1"/>
  <c r="D48" i="39" s="1"/>
  <c r="Q124" i="38"/>
  <c r="L5" i="43"/>
  <c r="M5" i="43"/>
  <c r="P218" i="38"/>
  <c r="P220" i="38" s="1"/>
  <c r="O100" i="39"/>
  <c r="J5" i="43"/>
  <c r="Q217" i="38"/>
  <c r="Q211" i="38"/>
  <c r="F5" i="43"/>
  <c r="G5" i="43"/>
  <c r="U53" i="38"/>
  <c r="U37" i="38"/>
  <c r="U43" i="38"/>
  <c r="U36" i="38"/>
  <c r="U66" i="38"/>
  <c r="U62" i="38"/>
  <c r="U61" i="38"/>
  <c r="U46" i="38"/>
  <c r="U49" i="38"/>
  <c r="U65" i="38"/>
  <c r="U54" i="38"/>
  <c r="U44" i="38"/>
  <c r="U50" i="38"/>
  <c r="U42" i="38"/>
  <c r="U52" i="38"/>
  <c r="U40" i="38"/>
  <c r="U57" i="38"/>
  <c r="U45" i="38"/>
  <c r="U63" i="38"/>
  <c r="U32" i="38"/>
  <c r="U58" i="38"/>
  <c r="U41" i="38"/>
  <c r="U39" i="38"/>
  <c r="U31" i="38"/>
  <c r="U55" i="38"/>
  <c r="U64" i="38"/>
  <c r="U35" i="38"/>
  <c r="U48" i="38"/>
  <c r="U38" i="38"/>
  <c r="U33" i="38"/>
  <c r="U60" i="38"/>
  <c r="U47" i="38"/>
  <c r="U34" i="38"/>
  <c r="U51" i="38"/>
  <c r="U59" i="38"/>
  <c r="U56" i="38"/>
  <c r="O85" i="39"/>
  <c r="O87" i="39" s="1"/>
  <c r="O101" i="39"/>
  <c r="O103" i="39" s="1"/>
  <c r="O106" i="39" s="1"/>
  <c r="O108" i="39" s="1"/>
  <c r="O109" i="39" s="1"/>
  <c r="C104" i="39"/>
  <c r="E146" i="39"/>
  <c r="E147" i="39" s="1"/>
  <c r="E148" i="39" s="1"/>
  <c r="E220" i="38"/>
  <c r="G218" i="38"/>
  <c r="C88" i="39"/>
  <c r="O39" i="39"/>
  <c r="O48" i="39" s="1"/>
  <c r="E104" i="39"/>
  <c r="E106" i="39"/>
  <c r="E108" i="39" s="1"/>
  <c r="E109" i="39" s="1"/>
  <c r="C96" i="39"/>
  <c r="C65" i="39"/>
  <c r="C66" i="39" s="1"/>
  <c r="F103" i="39"/>
  <c r="I17" i="11"/>
  <c r="I3" i="37"/>
  <c r="D65" i="39" l="1"/>
  <c r="D66" i="39" s="1"/>
  <c r="D96" i="39"/>
  <c r="E44" i="39"/>
  <c r="E39" i="39" s="1"/>
  <c r="E48" i="39" s="1"/>
  <c r="E65" i="39" s="1"/>
  <c r="E66" i="39" s="1"/>
  <c r="D88" i="39"/>
  <c r="Q218" i="38"/>
  <c r="P101" i="39"/>
  <c r="V52" i="38"/>
  <c r="V48" i="38"/>
  <c r="V57" i="38"/>
  <c r="V41" i="38"/>
  <c r="V49" i="38"/>
  <c r="V38" i="38"/>
  <c r="V51" i="38"/>
  <c r="V65" i="38"/>
  <c r="V62" i="38"/>
  <c r="V59" i="38"/>
  <c r="V35" i="38"/>
  <c r="V39" i="38"/>
  <c r="V56" i="38"/>
  <c r="V40" i="38"/>
  <c r="V31" i="38"/>
  <c r="V43" i="38"/>
  <c r="V60" i="38"/>
  <c r="V34" i="38"/>
  <c r="V45" i="38"/>
  <c r="V66" i="38"/>
  <c r="V47" i="38"/>
  <c r="V61" i="38"/>
  <c r="V55" i="38"/>
  <c r="V58" i="38"/>
  <c r="V37" i="38"/>
  <c r="V64" i="38"/>
  <c r="V44" i="38"/>
  <c r="V46" i="38"/>
  <c r="V50" i="38"/>
  <c r="V42" i="38"/>
  <c r="V53" i="38"/>
  <c r="V36" i="38"/>
  <c r="V32" i="38"/>
  <c r="V63" i="38"/>
  <c r="V54" i="38"/>
  <c r="V33" i="38"/>
  <c r="P85" i="39"/>
  <c r="O104" i="39"/>
  <c r="F146" i="39"/>
  <c r="F147" i="39" s="1"/>
  <c r="F148" i="39" s="1"/>
  <c r="G220" i="38"/>
  <c r="O88" i="39"/>
  <c r="P103" i="39"/>
  <c r="F106" i="39"/>
  <c r="F104" i="39"/>
  <c r="E96" i="39"/>
  <c r="O96" i="39"/>
  <c r="O65" i="39"/>
  <c r="O66" i="39" s="1"/>
  <c r="P87" i="39"/>
  <c r="E88" i="39"/>
  <c r="S22" i="37"/>
  <c r="T22" i="37"/>
  <c r="U22" i="37"/>
  <c r="N29" i="37"/>
  <c r="P17" i="37"/>
  <c r="N17" i="37"/>
  <c r="O29" i="37"/>
  <c r="O17" i="37"/>
  <c r="P29" i="37"/>
  <c r="K15" i="37"/>
  <c r="I19" i="37"/>
  <c r="J27" i="37"/>
  <c r="K31" i="37"/>
  <c r="J19" i="37"/>
  <c r="K27" i="37"/>
  <c r="I15" i="37"/>
  <c r="K19" i="37"/>
  <c r="I31" i="37"/>
  <c r="J15" i="37"/>
  <c r="I27" i="37"/>
  <c r="J31" i="37"/>
  <c r="D25" i="37"/>
  <c r="E13" i="37"/>
  <c r="F17" i="37"/>
  <c r="D21" i="37"/>
  <c r="E25" i="37"/>
  <c r="F13" i="37"/>
  <c r="D29" i="37"/>
  <c r="E21" i="37"/>
  <c r="F25" i="37"/>
  <c r="D17" i="37"/>
  <c r="E29" i="37"/>
  <c r="F21" i="37"/>
  <c r="D13" i="37"/>
  <c r="E17" i="37"/>
  <c r="F29" i="37"/>
  <c r="J8" i="37"/>
  <c r="I8" i="37"/>
  <c r="K8" i="37"/>
  <c r="E8" i="37"/>
  <c r="F44" i="39" l="1"/>
  <c r="O146" i="39"/>
  <c r="O147" i="39" s="1"/>
  <c r="O148" i="39" s="1"/>
  <c r="W53" i="38"/>
  <c r="W40" i="38"/>
  <c r="W46" i="38"/>
  <c r="W34" i="38"/>
  <c r="W39" i="38"/>
  <c r="W55" i="38"/>
  <c r="W36" i="38"/>
  <c r="W52" i="38"/>
  <c r="W38" i="38"/>
  <c r="W47" i="38"/>
  <c r="W37" i="38"/>
  <c r="W61" i="38"/>
  <c r="W64" i="38"/>
  <c r="W44" i="38"/>
  <c r="W33" i="38"/>
  <c r="W50" i="38"/>
  <c r="W57" i="38"/>
  <c r="W32" i="38"/>
  <c r="W56" i="38"/>
  <c r="W65" i="38"/>
  <c r="W59" i="38"/>
  <c r="W62" i="38"/>
  <c r="W60" i="38"/>
  <c r="W66" i="38"/>
  <c r="W43" i="38"/>
  <c r="W51" i="38"/>
  <c r="W54" i="38"/>
  <c r="W45" i="38"/>
  <c r="W58" i="38"/>
  <c r="W48" i="38"/>
  <c r="W35" i="38"/>
  <c r="W42" i="38"/>
  <c r="W41" i="38"/>
  <c r="W49" i="38"/>
  <c r="W63" i="38"/>
  <c r="W31" i="38"/>
  <c r="Q220" i="38"/>
  <c r="P106" i="39"/>
  <c r="F108" i="39"/>
  <c r="E5" i="37"/>
  <c r="G44" i="39" l="1"/>
  <c r="F88" i="39"/>
  <c r="P44" i="39"/>
  <c r="F39" i="39"/>
  <c r="P39" i="39" s="1"/>
  <c r="G88" i="39"/>
  <c r="H44" i="39"/>
  <c r="G39" i="39"/>
  <c r="G48" i="39" s="1"/>
  <c r="G65" i="39" s="1"/>
  <c r="G66" i="39" s="1"/>
  <c r="X33" i="38"/>
  <c r="X36" i="38"/>
  <c r="X65" i="38"/>
  <c r="X46" i="38"/>
  <c r="X34" i="38"/>
  <c r="X60" i="38"/>
  <c r="X43" i="38"/>
  <c r="X56" i="38"/>
  <c r="X61" i="38"/>
  <c r="X51" i="38"/>
  <c r="X45" i="38"/>
  <c r="X49" i="38"/>
  <c r="X62" i="38"/>
  <c r="X32" i="38"/>
  <c r="X41" i="38"/>
  <c r="X47" i="38"/>
  <c r="X31" i="38"/>
  <c r="X42" i="38"/>
  <c r="X50" i="38"/>
  <c r="X39" i="38"/>
  <c r="X58" i="38"/>
  <c r="X52" i="38"/>
  <c r="X54" i="38"/>
  <c r="X57" i="38"/>
  <c r="X38" i="38"/>
  <c r="X66" i="38"/>
  <c r="X48" i="38"/>
  <c r="X55" i="38"/>
  <c r="X63" i="38"/>
  <c r="X44" i="38"/>
  <c r="X35" i="38"/>
  <c r="X59" i="38"/>
  <c r="X64" i="38"/>
  <c r="X53" i="38"/>
  <c r="X37" i="38"/>
  <c r="X40" i="38"/>
  <c r="F109" i="39"/>
  <c r="P108" i="39"/>
  <c r="H12" i="36"/>
  <c r="G12" i="36"/>
  <c r="F12" i="36"/>
  <c r="E12" i="36"/>
  <c r="D12" i="36"/>
  <c r="H9" i="36"/>
  <c r="C5" i="36"/>
  <c r="F3" i="36"/>
  <c r="G12" i="35"/>
  <c r="F12" i="35"/>
  <c r="E12" i="35"/>
  <c r="D12" i="35"/>
  <c r="H9" i="35"/>
  <c r="H12" i="35"/>
  <c r="C5" i="35"/>
  <c r="F3" i="35"/>
  <c r="H10" i="35" s="1"/>
  <c r="G10" i="35" s="1"/>
  <c r="C5" i="34"/>
  <c r="D3" i="34"/>
  <c r="F48" i="39" l="1"/>
  <c r="F65" i="39" s="1"/>
  <c r="I44" i="39"/>
  <c r="H39" i="39"/>
  <c r="H48" i="39" s="1"/>
  <c r="H65" i="39" s="1"/>
  <c r="H66" i="39" s="1"/>
  <c r="H88" i="39"/>
  <c r="Y31" i="38"/>
  <c r="Y46" i="38"/>
  <c r="Y57" i="38"/>
  <c r="Y36" i="38"/>
  <c r="Y53" i="38"/>
  <c r="Y66" i="38"/>
  <c r="Y45" i="38"/>
  <c r="Y40" i="38"/>
  <c r="Y59" i="38"/>
  <c r="Y51" i="38"/>
  <c r="Y39" i="38"/>
  <c r="Y61" i="38"/>
  <c r="Y33" i="38"/>
  <c r="Y55" i="38"/>
  <c r="Y41" i="38"/>
  <c r="Y49" i="38"/>
  <c r="Y63" i="38"/>
  <c r="Y60" i="38"/>
  <c r="Y44" i="38"/>
  <c r="Y52" i="38"/>
  <c r="Y65" i="38"/>
  <c r="Y35" i="38"/>
  <c r="Y56" i="38"/>
  <c r="Y58" i="38"/>
  <c r="Y42" i="38"/>
  <c r="Y38" i="38"/>
  <c r="Y43" i="38"/>
  <c r="Y47" i="38"/>
  <c r="Y32" i="38"/>
  <c r="Y37" i="38"/>
  <c r="Y54" i="38"/>
  <c r="Y50" i="38"/>
  <c r="Y62" i="38"/>
  <c r="Y34" i="38"/>
  <c r="Y64" i="38"/>
  <c r="Y48" i="38"/>
  <c r="H10" i="36"/>
  <c r="G10" i="36" s="1"/>
  <c r="F10" i="36" s="1"/>
  <c r="E10" i="36" s="1"/>
  <c r="D10" i="36" s="1"/>
  <c r="H39" i="35"/>
  <c r="G39" i="35" s="1"/>
  <c r="F39" i="35" s="1"/>
  <c r="E39" i="35" s="1"/>
  <c r="D39" i="35" s="1"/>
  <c r="F10" i="35"/>
  <c r="E10" i="35" s="1"/>
  <c r="D10" i="35" s="1"/>
  <c r="C5" i="33"/>
  <c r="D3" i="33"/>
  <c r="I24" i="33" s="1"/>
  <c r="H24" i="33" s="1"/>
  <c r="G24" i="33" s="1"/>
  <c r="F24" i="33" s="1"/>
  <c r="E24" i="33" s="1"/>
  <c r="P48" i="39" l="1"/>
  <c r="F96" i="39"/>
  <c r="P96" i="39" s="1"/>
  <c r="I39" i="39"/>
  <c r="I48" i="39" s="1"/>
  <c r="I65" i="39" s="1"/>
  <c r="I66" i="39" s="1"/>
  <c r="I88" i="39"/>
  <c r="J44" i="39"/>
  <c r="Z47" i="38"/>
  <c r="Z44" i="38"/>
  <c r="Z48" i="38"/>
  <c r="Z64" i="38"/>
  <c r="Z49" i="38"/>
  <c r="Z59" i="38"/>
  <c r="Z43" i="38"/>
  <c r="Z32" i="38"/>
  <c r="Z56" i="38"/>
  <c r="Z34" i="38"/>
  <c r="Z54" i="38"/>
  <c r="Z39" i="38"/>
  <c r="Z36" i="38"/>
  <c r="Z45" i="38"/>
  <c r="Z66" i="38"/>
  <c r="Z58" i="38"/>
  <c r="Z50" i="38"/>
  <c r="Z42" i="38"/>
  <c r="Z65" i="38"/>
  <c r="Z63" i="38"/>
  <c r="Z52" i="38"/>
  <c r="Z46" i="38"/>
  <c r="Z62" i="38"/>
  <c r="Z40" i="38"/>
  <c r="Z53" i="38"/>
  <c r="Z51" i="38"/>
  <c r="Z60" i="38"/>
  <c r="Z31" i="38"/>
  <c r="Z61" i="38"/>
  <c r="Z35" i="38"/>
  <c r="Z57" i="38"/>
  <c r="Z37" i="38"/>
  <c r="Z33" i="38"/>
  <c r="Z41" i="38"/>
  <c r="Z55" i="38"/>
  <c r="Z38" i="38"/>
  <c r="F66" i="39"/>
  <c r="P65" i="39"/>
  <c r="I10" i="33"/>
  <c r="H10" i="33" s="1"/>
  <c r="J39" i="39" l="1"/>
  <c r="J48" i="39" s="1"/>
  <c r="J65" i="39" s="1"/>
  <c r="J66" i="39" s="1"/>
  <c r="K44" i="39"/>
  <c r="J88" i="39"/>
  <c r="AA60" i="38"/>
  <c r="AA62" i="38"/>
  <c r="AA42" i="38"/>
  <c r="AA53" i="38"/>
  <c r="AA32" i="38"/>
  <c r="AA59" i="38"/>
  <c r="AA52" i="38"/>
  <c r="AA40" i="38"/>
  <c r="AA61" i="38"/>
  <c r="AA37" i="38"/>
  <c r="AA41" i="38"/>
  <c r="AA33" i="38"/>
  <c r="AA63" i="38"/>
  <c r="AA51" i="38"/>
  <c r="AA31" i="38"/>
  <c r="AA35" i="38"/>
  <c r="AA55" i="38"/>
  <c r="AA58" i="38"/>
  <c r="AA49" i="38"/>
  <c r="AA36" i="38"/>
  <c r="AA65" i="38"/>
  <c r="AA43" i="38"/>
  <c r="AA38" i="38"/>
  <c r="AA54" i="38"/>
  <c r="AA39" i="38"/>
  <c r="AA34" i="38"/>
  <c r="AA44" i="38"/>
  <c r="AA56" i="38"/>
  <c r="AA45" i="38"/>
  <c r="AA64" i="38"/>
  <c r="AA57" i="38"/>
  <c r="AA50" i="38"/>
  <c r="AA66" i="38"/>
  <c r="AA47" i="38"/>
  <c r="AA48" i="38"/>
  <c r="AA46" i="38"/>
  <c r="G10" i="33"/>
  <c r="F10" i="33" s="1"/>
  <c r="E10" i="33" s="1"/>
  <c r="L44" i="39" l="1"/>
  <c r="K88" i="39"/>
  <c r="K39" i="39"/>
  <c r="K48" i="39" s="1"/>
  <c r="K65" i="39" s="1"/>
  <c r="K66" i="39" s="1"/>
  <c r="AB42" i="38"/>
  <c r="AB47" i="38"/>
  <c r="AB48" i="38"/>
  <c r="AB55" i="38"/>
  <c r="AB38" i="38"/>
  <c r="AB57" i="38"/>
  <c r="AB34" i="38"/>
  <c r="AB58" i="38"/>
  <c r="AB59" i="38"/>
  <c r="AB36" i="38"/>
  <c r="AB39" i="38"/>
  <c r="AB63" i="38"/>
  <c r="AB66" i="38"/>
  <c r="AB65" i="38"/>
  <c r="AB51" i="38"/>
  <c r="AB35" i="38"/>
  <c r="AB53" i="38"/>
  <c r="AB49" i="38"/>
  <c r="AB56" i="38"/>
  <c r="AB54" i="38"/>
  <c r="AB45" i="38"/>
  <c r="AB44" i="38"/>
  <c r="AB61" i="38"/>
  <c r="AB37" i="38"/>
  <c r="AB31" i="38"/>
  <c r="AB46" i="38"/>
  <c r="AB41" i="38"/>
  <c r="AB52" i="38"/>
  <c r="AB50" i="38"/>
  <c r="AB64" i="38"/>
  <c r="AB60" i="38"/>
  <c r="AB43" i="38"/>
  <c r="AB33" i="38"/>
  <c r="AB40" i="38"/>
  <c r="AB62" i="38"/>
  <c r="AB32" i="38"/>
  <c r="C5" i="32"/>
  <c r="D3" i="32"/>
  <c r="L39" i="39" l="1"/>
  <c r="L48" i="39" s="1"/>
  <c r="L65" i="39" s="1"/>
  <c r="L66" i="39" s="1"/>
  <c r="M44" i="39"/>
  <c r="L88" i="39"/>
  <c r="AC34" i="38"/>
  <c r="AC40" i="38"/>
  <c r="AC37" i="38"/>
  <c r="AC59" i="38"/>
  <c r="AC60" i="38"/>
  <c r="AC53" i="38"/>
  <c r="AC61" i="38"/>
  <c r="AC31" i="38"/>
  <c r="AC47" i="38"/>
  <c r="AC50" i="38"/>
  <c r="AC58" i="38"/>
  <c r="AC44" i="38"/>
  <c r="AC51" i="38"/>
  <c r="AC54" i="38"/>
  <c r="AC56" i="38"/>
  <c r="AC43" i="38"/>
  <c r="AC42" i="38"/>
  <c r="AC39" i="38"/>
  <c r="AC46" i="38"/>
  <c r="AC45" i="38"/>
  <c r="AC35" i="38"/>
  <c r="AC32" i="38"/>
  <c r="AC57" i="38"/>
  <c r="AC48" i="38"/>
  <c r="AC38" i="38"/>
  <c r="AC63" i="38"/>
  <c r="AC41" i="38"/>
  <c r="AC49" i="38"/>
  <c r="AC64" i="38"/>
  <c r="AC65" i="38"/>
  <c r="AC52" i="38"/>
  <c r="AC62" i="38"/>
  <c r="AC66" i="38"/>
  <c r="AC55" i="38"/>
  <c r="AC36" i="38"/>
  <c r="AC33" i="38"/>
  <c r="H10" i="32"/>
  <c r="G10" i="32" s="1"/>
  <c r="M88" i="39" l="1"/>
  <c r="M39" i="39"/>
  <c r="M48" i="39" s="1"/>
  <c r="M65" i="39" s="1"/>
  <c r="M66" i="39" s="1"/>
  <c r="N44" i="39"/>
  <c r="AD36" i="38"/>
  <c r="AD62" i="38"/>
  <c r="AD35" i="38"/>
  <c r="AD47" i="38"/>
  <c r="AD48" i="38"/>
  <c r="AD49" i="38"/>
  <c r="AD45" i="38"/>
  <c r="AD60" i="38"/>
  <c r="AD37" i="38"/>
  <c r="AD55" i="38"/>
  <c r="AD65" i="38"/>
  <c r="AD42" i="38"/>
  <c r="AD53" i="38"/>
  <c r="AD56" i="38"/>
  <c r="AD40" i="38"/>
  <c r="AD66" i="38"/>
  <c r="AD64" i="38"/>
  <c r="AD38" i="38"/>
  <c r="AD41" i="38"/>
  <c r="AD43" i="38"/>
  <c r="AD46" i="38"/>
  <c r="AD54" i="38"/>
  <c r="AD50" i="38"/>
  <c r="AD33" i="38"/>
  <c r="AD58" i="38"/>
  <c r="AD51" i="38"/>
  <c r="AD63" i="38"/>
  <c r="AD61" i="38"/>
  <c r="AD39" i="38"/>
  <c r="AD32" i="38"/>
  <c r="AD31" i="38"/>
  <c r="AD59" i="38"/>
  <c r="AD52" i="38"/>
  <c r="AD44" i="38"/>
  <c r="AD57" i="38"/>
  <c r="AD34" i="38"/>
  <c r="F10" i="32"/>
  <c r="E10" i="32" s="1"/>
  <c r="D10" i="32" s="1"/>
  <c r="N88" i="39" l="1"/>
  <c r="N39" i="39"/>
  <c r="N48" i="39" s="1"/>
  <c r="N65" i="39" s="1"/>
  <c r="N66" i="39" s="1"/>
  <c r="AE33" i="38"/>
  <c r="AE60" i="38"/>
  <c r="AE61" i="38"/>
  <c r="AE55" i="38"/>
  <c r="AE48" i="38"/>
  <c r="AE34" i="38"/>
  <c r="AE62" i="38"/>
  <c r="AE37" i="38"/>
  <c r="AE58" i="38"/>
  <c r="AE32" i="38"/>
  <c r="AE45" i="38"/>
  <c r="AE49" i="38"/>
  <c r="AE38" i="38"/>
  <c r="AE35" i="38"/>
  <c r="AE47" i="38"/>
  <c r="AE59" i="38"/>
  <c r="AE43" i="38"/>
  <c r="AE50" i="38"/>
  <c r="AE42" i="38"/>
  <c r="AE39" i="38"/>
  <c r="AE57" i="38"/>
  <c r="AE44" i="38"/>
  <c r="AE51" i="38"/>
  <c r="AE54" i="38"/>
  <c r="AE65" i="38"/>
  <c r="AE46" i="38"/>
  <c r="AE53" i="38"/>
  <c r="AE56" i="38"/>
  <c r="AE31" i="38"/>
  <c r="AE64" i="38"/>
  <c r="AE52" i="38"/>
  <c r="AE41" i="38"/>
  <c r="AE63" i="38"/>
  <c r="AE36" i="38"/>
  <c r="AE66" i="38"/>
  <c r="AE40" i="38"/>
  <c r="H9" i="30"/>
  <c r="H44" i="30"/>
  <c r="G44" i="30"/>
  <c r="J13" i="30"/>
  <c r="J14" i="30"/>
  <c r="J15" i="30"/>
  <c r="J42" i="30"/>
  <c r="J43" i="30"/>
  <c r="C44" i="30"/>
  <c r="D5" i="30"/>
  <c r="G3" i="30"/>
  <c r="D10" i="30" s="1"/>
  <c r="E11" i="30" s="1"/>
  <c r="F11" i="30" s="1"/>
  <c r="G11" i="30" s="1"/>
  <c r="H11" i="30" s="1"/>
  <c r="AF35" i="38" l="1"/>
  <c r="AF51" i="38"/>
  <c r="AF54" i="38"/>
  <c r="AF59" i="38"/>
  <c r="AF42" i="38"/>
  <c r="AF58" i="38"/>
  <c r="AF66" i="38"/>
  <c r="AF56" i="38"/>
  <c r="AF44" i="38"/>
  <c r="AF55" i="38"/>
  <c r="AF40" i="38"/>
  <c r="AF33" i="38"/>
  <c r="AF62" i="38"/>
  <c r="AF57" i="38"/>
  <c r="AF36" i="38"/>
  <c r="AF61" i="38"/>
  <c r="AF48" i="38"/>
  <c r="AF47" i="38"/>
  <c r="AF65" i="38"/>
  <c r="AF52" i="38"/>
  <c r="AF53" i="38"/>
  <c r="AF41" i="38"/>
  <c r="AF31" i="38"/>
  <c r="AF38" i="38"/>
  <c r="AF60" i="38"/>
  <c r="AF46" i="38"/>
  <c r="AF50" i="38"/>
  <c r="AF32" i="38"/>
  <c r="AF64" i="38"/>
  <c r="AF34" i="38"/>
  <c r="AF49" i="38"/>
  <c r="AF45" i="38"/>
  <c r="AF63" i="38"/>
  <c r="AF39" i="38"/>
  <c r="AF43" i="38"/>
  <c r="AF37" i="38"/>
  <c r="D44" i="30"/>
  <c r="AG37" i="38" l="1"/>
  <c r="AH37" i="38" s="1"/>
  <c r="AG52" i="38"/>
  <c r="AH52" i="38" s="1"/>
  <c r="AG56" i="38"/>
  <c r="AH56" i="38" s="1"/>
  <c r="AG38" i="38"/>
  <c r="AH38" i="38" s="1"/>
  <c r="AG59" i="38"/>
  <c r="AH59" i="38" s="1"/>
  <c r="AG47" i="38"/>
  <c r="AH47" i="38" s="1"/>
  <c r="AG40" i="38"/>
  <c r="AH40" i="38" s="1"/>
  <c r="AG65" i="38"/>
  <c r="AH65" i="38" s="1"/>
  <c r="AG66" i="38"/>
  <c r="AH66" i="38" s="1"/>
  <c r="AG43" i="38"/>
  <c r="AH43" i="38" s="1"/>
  <c r="AG63" i="38"/>
  <c r="AH63" i="38" s="1"/>
  <c r="AG34" i="38"/>
  <c r="AH34" i="38" s="1"/>
  <c r="AG50" i="38"/>
  <c r="AH50" i="38" s="1"/>
  <c r="AG36" i="38"/>
  <c r="AH36" i="38" s="1"/>
  <c r="AG39" i="38"/>
  <c r="AH39" i="38" s="1"/>
  <c r="AG62" i="38"/>
  <c r="AH62" i="38" s="1"/>
  <c r="AG33" i="38"/>
  <c r="AH33" i="38" s="1"/>
  <c r="AG44" i="38"/>
  <c r="AH44" i="38" s="1"/>
  <c r="AG58" i="38"/>
  <c r="AH58" i="38" s="1"/>
  <c r="AG53" i="38"/>
  <c r="AH53" i="38" s="1"/>
  <c r="AG54" i="38"/>
  <c r="AH54" i="38" s="1"/>
  <c r="AG45" i="38"/>
  <c r="AH45" i="38" s="1"/>
  <c r="AG48" i="38"/>
  <c r="AH48" i="38" s="1"/>
  <c r="AG41" i="38"/>
  <c r="AH41" i="38" s="1"/>
  <c r="AG60" i="38"/>
  <c r="AH60" i="38" s="1"/>
  <c r="AG49" i="38"/>
  <c r="AH49" i="38" s="1"/>
  <c r="AG42" i="38"/>
  <c r="AH42" i="38" s="1"/>
  <c r="AG64" i="38"/>
  <c r="AH64" i="38" s="1"/>
  <c r="AG32" i="38"/>
  <c r="AH32" i="38" s="1"/>
  <c r="AG31" i="38"/>
  <c r="AH31" i="38" s="1"/>
  <c r="AG51" i="38"/>
  <c r="AH51" i="38" s="1"/>
  <c r="AG35" i="38"/>
  <c r="AH35" i="38" s="1"/>
  <c r="AG46" i="38"/>
  <c r="AH46" i="38" s="1"/>
  <c r="AG61" i="38"/>
  <c r="AH61" i="38" s="1"/>
  <c r="AG57" i="38"/>
  <c r="AH57" i="38" s="1"/>
  <c r="AG55" i="38"/>
  <c r="AH55" i="38" s="1"/>
  <c r="F44" i="30"/>
  <c r="E44" i="30"/>
  <c r="J18" i="27" l="1"/>
  <c r="J17" i="27"/>
  <c r="J30" i="27"/>
  <c r="J29" i="27"/>
  <c r="J28" i="27"/>
  <c r="J27" i="27"/>
  <c r="J26" i="27"/>
  <c r="J25" i="27"/>
  <c r="J24" i="27"/>
  <c r="J23" i="27"/>
  <c r="J22" i="27"/>
  <c r="J20" i="27"/>
  <c r="J124" i="27"/>
  <c r="J123" i="27"/>
  <c r="J122" i="27"/>
  <c r="J121" i="27"/>
  <c r="J120" i="27"/>
  <c r="J119" i="27"/>
  <c r="J118" i="27"/>
  <c r="J117" i="27"/>
  <c r="J116" i="27"/>
  <c r="J115" i="27"/>
  <c r="J113" i="27"/>
  <c r="J112" i="27"/>
  <c r="J111" i="27"/>
  <c r="J110" i="27"/>
  <c r="J109" i="27"/>
  <c r="J108" i="27"/>
  <c r="J107" i="27"/>
  <c r="J106" i="27"/>
  <c r="J105" i="27"/>
  <c r="J104" i="27"/>
  <c r="J103" i="27"/>
  <c r="J101" i="27"/>
  <c r="J100" i="27"/>
  <c r="J99" i="27"/>
  <c r="J98" i="27"/>
  <c r="J97" i="27"/>
  <c r="J96" i="27"/>
  <c r="J94" i="27"/>
  <c r="J93" i="27"/>
  <c r="J92" i="27"/>
  <c r="J91" i="27"/>
  <c r="J90" i="27"/>
  <c r="J89" i="27"/>
  <c r="J88" i="27"/>
  <c r="J87" i="27"/>
  <c r="J86" i="27"/>
  <c r="J85" i="27"/>
  <c r="J84" i="27"/>
  <c r="J82" i="27"/>
  <c r="J81" i="27"/>
  <c r="J80" i="27"/>
  <c r="J79" i="27"/>
  <c r="J78" i="27"/>
  <c r="J77" i="27"/>
  <c r="J75" i="27"/>
  <c r="J74" i="27"/>
  <c r="J73" i="27"/>
  <c r="J72" i="27"/>
  <c r="J71" i="27"/>
  <c r="J70" i="27"/>
  <c r="J69" i="27"/>
  <c r="J67" i="27"/>
  <c r="J66" i="27"/>
  <c r="J65" i="27"/>
  <c r="J64" i="27"/>
  <c r="J63" i="27"/>
  <c r="J62" i="27"/>
  <c r="J61" i="27"/>
  <c r="J60" i="27"/>
  <c r="J59" i="27"/>
  <c r="J58" i="27"/>
  <c r="J57" i="27"/>
  <c r="J56" i="27"/>
  <c r="J55" i="27"/>
  <c r="J54" i="27"/>
  <c r="J53" i="27"/>
  <c r="J52" i="27"/>
  <c r="J51" i="27"/>
  <c r="J50" i="27"/>
  <c r="J49" i="27"/>
  <c r="J48" i="27"/>
  <c r="J47" i="27"/>
  <c r="J46" i="27"/>
  <c r="J45" i="27"/>
  <c r="J43" i="27"/>
  <c r="J42" i="27"/>
  <c r="J41" i="27"/>
  <c r="J40" i="27"/>
  <c r="J39" i="27"/>
  <c r="E3" i="29" l="1"/>
  <c r="E10" i="29" s="1"/>
  <c r="F12" i="29"/>
  <c r="F9" i="29"/>
  <c r="D10" i="29" l="1"/>
  <c r="C8" i="29" s="1"/>
  <c r="D5" i="28" l="1"/>
  <c r="I3" i="28"/>
  <c r="M9" i="28" s="1"/>
  <c r="K9" i="28" s="1"/>
  <c r="C220" i="27"/>
  <c r="B220" i="27"/>
  <c r="C219" i="27"/>
  <c r="B219" i="27"/>
  <c r="C218" i="27"/>
  <c r="B218" i="27"/>
  <c r="C217" i="27"/>
  <c r="B217" i="27"/>
  <c r="C212" i="27"/>
  <c r="B212" i="27"/>
  <c r="C211" i="27"/>
  <c r="D211" i="27" s="1"/>
  <c r="B211" i="27"/>
  <c r="C210" i="27"/>
  <c r="F210" i="27" s="1"/>
  <c r="H210" i="27" s="1"/>
  <c r="B210" i="27"/>
  <c r="C209" i="27"/>
  <c r="B209" i="27"/>
  <c r="C208" i="27"/>
  <c r="B208" i="27"/>
  <c r="C207" i="27"/>
  <c r="B207" i="27"/>
  <c r="C206" i="27"/>
  <c r="F206" i="27" s="1"/>
  <c r="H206" i="27" s="1"/>
  <c r="B206" i="27"/>
  <c r="C205" i="27"/>
  <c r="B205" i="27"/>
  <c r="C204" i="27"/>
  <c r="B204" i="27"/>
  <c r="C203" i="27"/>
  <c r="B203" i="27"/>
  <c r="C202" i="27"/>
  <c r="D202" i="27" s="1"/>
  <c r="B202" i="27"/>
  <c r="C201" i="27"/>
  <c r="B201" i="27"/>
  <c r="C200" i="27"/>
  <c r="B200" i="27"/>
  <c r="C199" i="27"/>
  <c r="F199" i="27" s="1"/>
  <c r="H199" i="27" s="1"/>
  <c r="B199" i="27"/>
  <c r="C198" i="27"/>
  <c r="B198" i="27"/>
  <c r="C197" i="27"/>
  <c r="F197" i="27" s="1"/>
  <c r="H197" i="27" s="1"/>
  <c r="B197" i="27"/>
  <c r="C196" i="27"/>
  <c r="B196" i="27"/>
  <c r="C195" i="27"/>
  <c r="B195" i="27"/>
  <c r="C194" i="27"/>
  <c r="D194" i="27" s="1"/>
  <c r="B194" i="27"/>
  <c r="C193" i="27"/>
  <c r="B193" i="27"/>
  <c r="C192" i="27"/>
  <c r="B192" i="27"/>
  <c r="C191" i="27"/>
  <c r="B191" i="27"/>
  <c r="C190" i="27"/>
  <c r="B190" i="27"/>
  <c r="C189" i="27"/>
  <c r="B189" i="27"/>
  <c r="C188" i="27"/>
  <c r="F188" i="27" s="1"/>
  <c r="H188" i="27" s="1"/>
  <c r="B188" i="27"/>
  <c r="C187" i="27"/>
  <c r="B187" i="27"/>
  <c r="C186" i="27"/>
  <c r="B186" i="27"/>
  <c r="C185" i="27"/>
  <c r="D185" i="27" s="1"/>
  <c r="B185" i="27"/>
  <c r="C184" i="27"/>
  <c r="B184" i="27"/>
  <c r="C183" i="27"/>
  <c r="D183" i="27" s="1"/>
  <c r="B183" i="27"/>
  <c r="C182" i="27"/>
  <c r="F182" i="27" s="1"/>
  <c r="H182" i="27" s="1"/>
  <c r="B182" i="27"/>
  <c r="C181" i="27"/>
  <c r="B181" i="27"/>
  <c r="C180" i="27"/>
  <c r="B180" i="27"/>
  <c r="C179" i="27"/>
  <c r="F179" i="27" s="1"/>
  <c r="H179" i="27" s="1"/>
  <c r="B179" i="27"/>
  <c r="C178" i="27"/>
  <c r="B178" i="27"/>
  <c r="C177" i="27"/>
  <c r="B177" i="27"/>
  <c r="C176" i="27"/>
  <c r="D176" i="27" s="1"/>
  <c r="B176" i="27"/>
  <c r="C175" i="27"/>
  <c r="B175" i="27"/>
  <c r="C174" i="27"/>
  <c r="B174" i="27"/>
  <c r="C173" i="27"/>
  <c r="F173" i="27" s="1"/>
  <c r="H173" i="27" s="1"/>
  <c r="B173" i="27"/>
  <c r="C172" i="27"/>
  <c r="B172" i="27"/>
  <c r="C171" i="27"/>
  <c r="F171" i="27" s="1"/>
  <c r="H171" i="27" s="1"/>
  <c r="B171" i="27"/>
  <c r="C170" i="27"/>
  <c r="B170" i="27"/>
  <c r="C169" i="27"/>
  <c r="B169" i="27"/>
  <c r="C168" i="27"/>
  <c r="B168" i="27"/>
  <c r="C167" i="27"/>
  <c r="D167" i="27" s="1"/>
  <c r="B167" i="27"/>
  <c r="C166" i="27"/>
  <c r="B166" i="27"/>
  <c r="C165" i="27"/>
  <c r="D165" i="27" s="1"/>
  <c r="B165" i="27"/>
  <c r="C164" i="27"/>
  <c r="F164" i="27" s="1"/>
  <c r="H164" i="27" s="1"/>
  <c r="B164" i="27"/>
  <c r="C163" i="27"/>
  <c r="B163" i="27"/>
  <c r="C162" i="27"/>
  <c r="B162" i="27"/>
  <c r="C161" i="27"/>
  <c r="F161" i="27" s="1"/>
  <c r="H161" i="27" s="1"/>
  <c r="B161" i="27"/>
  <c r="C160" i="27"/>
  <c r="B160" i="27"/>
  <c r="C159" i="27"/>
  <c r="B159" i="27"/>
  <c r="C158" i="27"/>
  <c r="D158" i="27" s="1"/>
  <c r="B158" i="27"/>
  <c r="C157" i="27"/>
  <c r="B157" i="27"/>
  <c r="C156" i="27"/>
  <c r="B156" i="27"/>
  <c r="C155" i="27"/>
  <c r="F155" i="27" s="1"/>
  <c r="H155" i="27" s="1"/>
  <c r="B155" i="27"/>
  <c r="C154" i="27"/>
  <c r="B154" i="27"/>
  <c r="C153" i="27"/>
  <c r="B153" i="27"/>
  <c r="C152" i="27"/>
  <c r="F152" i="27" s="1"/>
  <c r="H152" i="27" s="1"/>
  <c r="B152" i="27"/>
  <c r="C151" i="27"/>
  <c r="B151" i="27"/>
  <c r="C150" i="27"/>
  <c r="B150" i="27"/>
  <c r="C149" i="27"/>
  <c r="D149" i="27" s="1"/>
  <c r="B149" i="27"/>
  <c r="C148" i="27"/>
  <c r="B148" i="27"/>
  <c r="C147" i="27"/>
  <c r="D147" i="27" s="1"/>
  <c r="B147" i="27"/>
  <c r="C146" i="27"/>
  <c r="F146" i="27" s="1"/>
  <c r="H146" i="27" s="1"/>
  <c r="B146" i="27"/>
  <c r="C145" i="27"/>
  <c r="B145" i="27"/>
  <c r="C144" i="27"/>
  <c r="B144" i="27"/>
  <c r="C143" i="27"/>
  <c r="F143" i="27" s="1"/>
  <c r="H143" i="27" s="1"/>
  <c r="B143" i="27"/>
  <c r="C142" i="27"/>
  <c r="B142" i="27"/>
  <c r="C141" i="27"/>
  <c r="B141" i="27"/>
  <c r="C140" i="27"/>
  <c r="D140" i="27" s="1"/>
  <c r="B140" i="27"/>
  <c r="C139" i="27"/>
  <c r="B139" i="27"/>
  <c r="C138" i="27"/>
  <c r="B138" i="27"/>
  <c r="C137" i="27"/>
  <c r="F137" i="27" s="1"/>
  <c r="H137" i="27" s="1"/>
  <c r="B137" i="27"/>
  <c r="C136" i="27"/>
  <c r="B136" i="27"/>
  <c r="C135" i="27"/>
  <c r="F135" i="27" s="1"/>
  <c r="H135" i="27" s="1"/>
  <c r="B135" i="27"/>
  <c r="C134" i="27"/>
  <c r="B134" i="27"/>
  <c r="C133" i="27"/>
  <c r="B133" i="27"/>
  <c r="C132" i="27"/>
  <c r="B132" i="27"/>
  <c r="C125" i="27"/>
  <c r="B125" i="27"/>
  <c r="C124" i="27"/>
  <c r="D124" i="27" s="1"/>
  <c r="B124" i="27"/>
  <c r="C123" i="27"/>
  <c r="B123" i="27"/>
  <c r="C122" i="27"/>
  <c r="B122" i="27"/>
  <c r="C121" i="27"/>
  <c r="F121" i="27" s="1"/>
  <c r="B121" i="27"/>
  <c r="C120" i="27"/>
  <c r="B120" i="27"/>
  <c r="C119" i="27"/>
  <c r="F119" i="27" s="1"/>
  <c r="B119" i="27"/>
  <c r="C118" i="27"/>
  <c r="B118" i="27"/>
  <c r="C117" i="27"/>
  <c r="B117" i="27"/>
  <c r="C116" i="27"/>
  <c r="D116" i="27" s="1"/>
  <c r="B116" i="27"/>
  <c r="C115" i="27"/>
  <c r="B115" i="27"/>
  <c r="C114" i="27"/>
  <c r="B114" i="27"/>
  <c r="C113" i="27"/>
  <c r="B113" i="27"/>
  <c r="C112" i="27"/>
  <c r="B112" i="27"/>
  <c r="C111" i="27"/>
  <c r="B111" i="27"/>
  <c r="C110" i="27"/>
  <c r="F110" i="27" s="1"/>
  <c r="B110" i="27"/>
  <c r="C109" i="27"/>
  <c r="B109" i="27"/>
  <c r="C108" i="27"/>
  <c r="B108" i="27"/>
  <c r="C107" i="27"/>
  <c r="D107" i="27" s="1"/>
  <c r="B107" i="27"/>
  <c r="C106" i="27"/>
  <c r="B106" i="27"/>
  <c r="C105" i="27"/>
  <c r="D105" i="27" s="1"/>
  <c r="B105" i="27"/>
  <c r="C104" i="27"/>
  <c r="F104" i="27" s="1"/>
  <c r="B104" i="27"/>
  <c r="C103" i="27"/>
  <c r="B103" i="27"/>
  <c r="C102" i="27"/>
  <c r="B102" i="27"/>
  <c r="C101" i="27"/>
  <c r="F101" i="27" s="1"/>
  <c r="B101" i="27"/>
  <c r="C100" i="27"/>
  <c r="B100" i="27"/>
  <c r="C99" i="27"/>
  <c r="D99" i="27" s="1"/>
  <c r="B99" i="27"/>
  <c r="C98" i="27"/>
  <c r="F98" i="27" s="1"/>
  <c r="B98" i="27"/>
  <c r="C97" i="27"/>
  <c r="F97" i="27" s="1"/>
  <c r="B97" i="27"/>
  <c r="C96" i="27"/>
  <c r="B96" i="27"/>
  <c r="C95" i="27"/>
  <c r="B95" i="27"/>
  <c r="C94" i="27"/>
  <c r="E94" i="27" s="1"/>
  <c r="B94" i="27"/>
  <c r="C93" i="27"/>
  <c r="B93" i="27"/>
  <c r="C92" i="27"/>
  <c r="D92" i="27" s="1"/>
  <c r="B92" i="27"/>
  <c r="C91" i="27"/>
  <c r="D91" i="27" s="1"/>
  <c r="B91" i="27"/>
  <c r="C90" i="27"/>
  <c r="F90" i="27" s="1"/>
  <c r="B90" i="27"/>
  <c r="C89" i="27"/>
  <c r="B89" i="27"/>
  <c r="C88" i="27"/>
  <c r="B88" i="27"/>
  <c r="C87" i="27"/>
  <c r="F87" i="27" s="1"/>
  <c r="B87" i="27"/>
  <c r="C86" i="27"/>
  <c r="B86" i="27"/>
  <c r="C85" i="27"/>
  <c r="D85" i="27" s="1"/>
  <c r="B85" i="27"/>
  <c r="C84" i="27"/>
  <c r="B84" i="27"/>
  <c r="C83" i="27"/>
  <c r="B83" i="27"/>
  <c r="C82" i="27"/>
  <c r="E82" i="27" s="1"/>
  <c r="B82" i="27"/>
  <c r="C81" i="27"/>
  <c r="B81" i="27"/>
  <c r="C80" i="27"/>
  <c r="B80" i="27"/>
  <c r="C79" i="27"/>
  <c r="F79" i="27" s="1"/>
  <c r="B79" i="27"/>
  <c r="C78" i="27"/>
  <c r="B78" i="27"/>
  <c r="C77" i="27"/>
  <c r="F77" i="27" s="1"/>
  <c r="B77" i="27"/>
  <c r="C76" i="27"/>
  <c r="B76" i="27"/>
  <c r="C75" i="27"/>
  <c r="D75" i="27" s="1"/>
  <c r="B75" i="27"/>
  <c r="C74" i="27"/>
  <c r="F74" i="27" s="1"/>
  <c r="B74" i="27"/>
  <c r="C73" i="27"/>
  <c r="D73" i="27" s="1"/>
  <c r="B73" i="27"/>
  <c r="C72" i="27"/>
  <c r="F72" i="27" s="1"/>
  <c r="B72" i="27"/>
  <c r="C71" i="27"/>
  <c r="D71" i="27" s="1"/>
  <c r="B71" i="27"/>
  <c r="C70" i="27"/>
  <c r="F70" i="27" s="1"/>
  <c r="B70" i="27"/>
  <c r="C69" i="27"/>
  <c r="B69" i="27"/>
  <c r="C68" i="27"/>
  <c r="B68" i="27"/>
  <c r="C67" i="27"/>
  <c r="F67" i="27" s="1"/>
  <c r="B67" i="27"/>
  <c r="C66" i="27"/>
  <c r="D66" i="27" s="1"/>
  <c r="B66" i="27"/>
  <c r="C65" i="27"/>
  <c r="F65" i="27" s="1"/>
  <c r="B65" i="27"/>
  <c r="C64" i="27"/>
  <c r="B64" i="27"/>
  <c r="C63" i="27"/>
  <c r="F63" i="27" s="1"/>
  <c r="B63" i="27"/>
  <c r="C62" i="27"/>
  <c r="D62" i="27" s="1"/>
  <c r="B62" i="27"/>
  <c r="C61" i="27"/>
  <c r="F61" i="27" s="1"/>
  <c r="B61" i="27"/>
  <c r="C60" i="27"/>
  <c r="B60" i="27"/>
  <c r="C59" i="27"/>
  <c r="F59" i="27" s="1"/>
  <c r="B59" i="27"/>
  <c r="C58" i="27"/>
  <c r="D58" i="27" s="1"/>
  <c r="B58" i="27"/>
  <c r="C57" i="27"/>
  <c r="F57" i="27" s="1"/>
  <c r="B57" i="27"/>
  <c r="C56" i="27"/>
  <c r="B56" i="27"/>
  <c r="C55" i="27"/>
  <c r="F55" i="27" s="1"/>
  <c r="B55" i="27"/>
  <c r="C54" i="27"/>
  <c r="D54" i="27" s="1"/>
  <c r="B54" i="27"/>
  <c r="C53" i="27"/>
  <c r="F53" i="27" s="1"/>
  <c r="B53" i="27"/>
  <c r="C52" i="27"/>
  <c r="B52" i="27"/>
  <c r="C51" i="27"/>
  <c r="B51" i="27"/>
  <c r="C50" i="27"/>
  <c r="D50" i="27" s="1"/>
  <c r="B50" i="27"/>
  <c r="C49" i="27"/>
  <c r="B49" i="27"/>
  <c r="C48" i="27"/>
  <c r="B48" i="27"/>
  <c r="C47" i="27"/>
  <c r="F47" i="27" s="1"/>
  <c r="B47" i="27"/>
  <c r="C46" i="27"/>
  <c r="D46" i="27" s="1"/>
  <c r="B46" i="27"/>
  <c r="C45" i="27"/>
  <c r="B45" i="27"/>
  <c r="C44" i="27"/>
  <c r="B44" i="27"/>
  <c r="C43" i="27"/>
  <c r="B43" i="27"/>
  <c r="C42" i="27"/>
  <c r="D42" i="27" s="1"/>
  <c r="B42" i="27"/>
  <c r="C41" i="27"/>
  <c r="B41" i="27"/>
  <c r="C40" i="27"/>
  <c r="B40" i="27"/>
  <c r="C39" i="27"/>
  <c r="F39" i="27" s="1"/>
  <c r="B39" i="27"/>
  <c r="C38" i="27"/>
  <c r="D38" i="27" s="1"/>
  <c r="B38" i="27"/>
  <c r="C37" i="27"/>
  <c r="D37" i="27" s="1"/>
  <c r="B37" i="27"/>
  <c r="C36" i="27"/>
  <c r="B36" i="27"/>
  <c r="C35" i="27"/>
  <c r="B35" i="27"/>
  <c r="C34" i="27"/>
  <c r="D34" i="27" s="1"/>
  <c r="B34" i="27"/>
  <c r="C33" i="27"/>
  <c r="B33" i="27"/>
  <c r="C32" i="27"/>
  <c r="B32" i="27"/>
  <c r="C31" i="27"/>
  <c r="B31" i="27"/>
  <c r="C30" i="27"/>
  <c r="F30" i="27" s="1"/>
  <c r="B30" i="27"/>
  <c r="C29" i="27"/>
  <c r="B29" i="27"/>
  <c r="C28" i="27"/>
  <c r="F28" i="27" s="1"/>
  <c r="B28" i="27"/>
  <c r="C27" i="27"/>
  <c r="B27" i="27"/>
  <c r="C26" i="27"/>
  <c r="B26" i="27"/>
  <c r="C25" i="27"/>
  <c r="E25" i="27" s="1"/>
  <c r="B25" i="27"/>
  <c r="C24" i="27"/>
  <c r="F24" i="27" s="1"/>
  <c r="B24" i="27"/>
  <c r="C23" i="27"/>
  <c r="B23" i="27"/>
  <c r="C22" i="27"/>
  <c r="E22" i="27" s="1"/>
  <c r="B22" i="27"/>
  <c r="C21" i="27"/>
  <c r="B21" i="27"/>
  <c r="C20" i="27"/>
  <c r="F20" i="27" s="1"/>
  <c r="B20" i="27"/>
  <c r="C19" i="27"/>
  <c r="B19" i="27"/>
  <c r="C18" i="27"/>
  <c r="F18" i="27" s="1"/>
  <c r="B18" i="27"/>
  <c r="C17" i="27"/>
  <c r="B17" i="27"/>
  <c r="C16" i="27"/>
  <c r="B16" i="27"/>
  <c r="C15" i="27"/>
  <c r="B15" i="27"/>
  <c r="G3" i="27"/>
  <c r="G10" i="27" s="1"/>
  <c r="F10" i="27" s="1"/>
  <c r="E10" i="27" s="1"/>
  <c r="D10" i="27" s="1"/>
  <c r="H214" i="27"/>
  <c r="G204" i="27"/>
  <c r="G192" i="27"/>
  <c r="G180" i="27"/>
  <c r="G168" i="27"/>
  <c r="G162" i="27"/>
  <c r="G154" i="27"/>
  <c r="G144" i="27"/>
  <c r="G132" i="27"/>
  <c r="H127" i="27"/>
  <c r="G114" i="27"/>
  <c r="G102" i="27"/>
  <c r="G95" i="27"/>
  <c r="G83" i="27"/>
  <c r="G76" i="27"/>
  <c r="G68" i="27"/>
  <c r="G31" i="27"/>
  <c r="G19" i="27"/>
  <c r="G15" i="27"/>
  <c r="H9" i="27"/>
  <c r="D5" i="27"/>
  <c r="D3" i="26"/>
  <c r="C5" i="25"/>
  <c r="E3" i="25"/>
  <c r="B12" i="25" s="1"/>
  <c r="B20" i="25" s="1"/>
  <c r="C5" i="24"/>
  <c r="E3" i="24"/>
  <c r="B12" i="24" s="1"/>
  <c r="B20" i="24" s="1"/>
  <c r="C5" i="23"/>
  <c r="E3" i="23"/>
  <c r="C5" i="22"/>
  <c r="E3" i="22"/>
  <c r="H47" i="27" l="1"/>
  <c r="H55" i="27"/>
  <c r="H59" i="27"/>
  <c r="H63" i="27"/>
  <c r="H67" i="27"/>
  <c r="H77" i="27"/>
  <c r="H87" i="27"/>
  <c r="H97" i="27"/>
  <c r="H101" i="27"/>
  <c r="H121" i="27"/>
  <c r="H20" i="27"/>
  <c r="H24" i="27"/>
  <c r="H28" i="27"/>
  <c r="H70" i="27"/>
  <c r="H74" i="27"/>
  <c r="H90" i="27"/>
  <c r="H104" i="27"/>
  <c r="H18" i="27"/>
  <c r="H30" i="27"/>
  <c r="H72" i="27"/>
  <c r="H98" i="27"/>
  <c r="H110" i="27"/>
  <c r="H39" i="27"/>
  <c r="H53" i="27"/>
  <c r="H57" i="27"/>
  <c r="H61" i="27"/>
  <c r="H65" i="27"/>
  <c r="H79" i="27"/>
  <c r="H119" i="27"/>
  <c r="F17" i="27"/>
  <c r="E21" i="27"/>
  <c r="E18" i="27"/>
  <c r="E34" i="27"/>
  <c r="E58" i="27"/>
  <c r="D70" i="27"/>
  <c r="D152" i="27"/>
  <c r="E171" i="27"/>
  <c r="D188" i="27"/>
  <c r="E211" i="27"/>
  <c r="E50" i="27"/>
  <c r="D61" i="27"/>
  <c r="D87" i="27"/>
  <c r="D135" i="27"/>
  <c r="E158" i="27"/>
  <c r="E176" i="27"/>
  <c r="E194" i="27"/>
  <c r="F211" i="27"/>
  <c r="H211" i="27" s="1"/>
  <c r="D28" i="27"/>
  <c r="D53" i="27"/>
  <c r="E75" i="27"/>
  <c r="D110" i="27"/>
  <c r="E140" i="27"/>
  <c r="E42" i="27"/>
  <c r="E66" i="27"/>
  <c r="D79" i="27"/>
  <c r="D94" i="27"/>
  <c r="E116" i="27"/>
  <c r="D171" i="27"/>
  <c r="D206" i="27"/>
  <c r="D16" i="27"/>
  <c r="F16" i="27"/>
  <c r="D21" i="27"/>
  <c r="F21" i="27"/>
  <c r="F23" i="27"/>
  <c r="E23" i="27"/>
  <c r="D25" i="27"/>
  <c r="F25" i="27"/>
  <c r="F27" i="27"/>
  <c r="E27" i="27"/>
  <c r="D27" i="27"/>
  <c r="D29" i="27"/>
  <c r="F29" i="27"/>
  <c r="E29" i="27"/>
  <c r="F33" i="27"/>
  <c r="E33" i="27"/>
  <c r="D33" i="27"/>
  <c r="E35" i="27"/>
  <c r="D35" i="27"/>
  <c r="F35" i="27"/>
  <c r="F37" i="27"/>
  <c r="E37" i="27"/>
  <c r="E39" i="27"/>
  <c r="D39" i="27"/>
  <c r="F41" i="27"/>
  <c r="E41" i="27"/>
  <c r="D41" i="27"/>
  <c r="E43" i="27"/>
  <c r="D43" i="27"/>
  <c r="F43" i="27"/>
  <c r="F45" i="27"/>
  <c r="E45" i="27"/>
  <c r="E47" i="27"/>
  <c r="D47" i="27"/>
  <c r="F49" i="27"/>
  <c r="E49" i="27"/>
  <c r="D49" i="27"/>
  <c r="E51" i="27"/>
  <c r="D51" i="27"/>
  <c r="F51" i="27"/>
  <c r="E16" i="27"/>
  <c r="D23" i="27"/>
  <c r="D45" i="27"/>
  <c r="E26" i="27"/>
  <c r="D26" i="27"/>
  <c r="E30" i="27"/>
  <c r="D30" i="27"/>
  <c r="F32" i="27"/>
  <c r="E32" i="27"/>
  <c r="F36" i="27"/>
  <c r="E36" i="27"/>
  <c r="F40" i="27"/>
  <c r="E40" i="27"/>
  <c r="F44" i="27"/>
  <c r="E44" i="27"/>
  <c r="F48" i="27"/>
  <c r="E48" i="27"/>
  <c r="F52" i="27"/>
  <c r="E52" i="27"/>
  <c r="F56" i="27"/>
  <c r="E56" i="27"/>
  <c r="F60" i="27"/>
  <c r="E60" i="27"/>
  <c r="F64" i="27"/>
  <c r="E64" i="27"/>
  <c r="E72" i="27"/>
  <c r="D72" i="27"/>
  <c r="F78" i="27"/>
  <c r="E78" i="27"/>
  <c r="D80" i="27"/>
  <c r="E80" i="27"/>
  <c r="F82" i="27"/>
  <c r="D82" i="27"/>
  <c r="F84" i="27"/>
  <c r="E84" i="27"/>
  <c r="E86" i="27"/>
  <c r="F86" i="27"/>
  <c r="D86" i="27"/>
  <c r="E88" i="27"/>
  <c r="D88" i="27"/>
  <c r="E90" i="27"/>
  <c r="D90" i="27"/>
  <c r="F96" i="27"/>
  <c r="E96" i="27"/>
  <c r="D96" i="27"/>
  <c r="D98" i="27"/>
  <c r="E98" i="27"/>
  <c r="F100" i="27"/>
  <c r="E100" i="27"/>
  <c r="D100" i="27"/>
  <c r="E104" i="27"/>
  <c r="D104" i="27"/>
  <c r="F106" i="27"/>
  <c r="E106" i="27"/>
  <c r="D106" i="27"/>
  <c r="E108" i="27"/>
  <c r="D108" i="27"/>
  <c r="F108" i="27"/>
  <c r="E112" i="27"/>
  <c r="D112" i="27"/>
  <c r="F118" i="27"/>
  <c r="E118" i="27"/>
  <c r="D118" i="27"/>
  <c r="D120" i="27"/>
  <c r="F120" i="27"/>
  <c r="E120" i="27"/>
  <c r="F122" i="27"/>
  <c r="E122" i="27"/>
  <c r="F134" i="27"/>
  <c r="H134" i="27" s="1"/>
  <c r="E134" i="27"/>
  <c r="D134" i="27"/>
  <c r="D136" i="27"/>
  <c r="F136" i="27"/>
  <c r="H136" i="27" s="1"/>
  <c r="E136" i="27"/>
  <c r="F138" i="27"/>
  <c r="H138" i="27" s="1"/>
  <c r="E138" i="27"/>
  <c r="F142" i="27"/>
  <c r="H142" i="27" s="1"/>
  <c r="E142" i="27"/>
  <c r="D142" i="27"/>
  <c r="E146" i="27"/>
  <c r="D146" i="27"/>
  <c r="F148" i="27"/>
  <c r="H148" i="27" s="1"/>
  <c r="E148" i="27"/>
  <c r="D148" i="27"/>
  <c r="E150" i="27"/>
  <c r="D150" i="27"/>
  <c r="F150" i="27"/>
  <c r="H150" i="27" s="1"/>
  <c r="F156" i="27"/>
  <c r="E156" i="27"/>
  <c r="F160" i="27"/>
  <c r="H160" i="27" s="1"/>
  <c r="E160" i="27"/>
  <c r="D160" i="27"/>
  <c r="E164" i="27"/>
  <c r="D164" i="27"/>
  <c r="F166" i="27"/>
  <c r="H166" i="27" s="1"/>
  <c r="E166" i="27"/>
  <c r="D166" i="27"/>
  <c r="F170" i="27"/>
  <c r="H170" i="27" s="1"/>
  <c r="E170" i="27"/>
  <c r="D170" i="27"/>
  <c r="D172" i="27"/>
  <c r="F172" i="27"/>
  <c r="H172" i="27" s="1"/>
  <c r="E172" i="27"/>
  <c r="F174" i="27"/>
  <c r="H174" i="27" s="1"/>
  <c r="E174" i="27"/>
  <c r="F178" i="27"/>
  <c r="H178" i="27" s="1"/>
  <c r="E178" i="27"/>
  <c r="D178" i="27"/>
  <c r="E182" i="27"/>
  <c r="D182" i="27"/>
  <c r="F184" i="27"/>
  <c r="H184" i="27" s="1"/>
  <c r="E184" i="27"/>
  <c r="D184" i="27"/>
  <c r="E186" i="27"/>
  <c r="D186" i="27"/>
  <c r="F186" i="27"/>
  <c r="H186" i="27" s="1"/>
  <c r="E190" i="27"/>
  <c r="D190" i="27"/>
  <c r="F196" i="27"/>
  <c r="H196" i="27" s="1"/>
  <c r="E196" i="27"/>
  <c r="D196" i="27"/>
  <c r="D198" i="27"/>
  <c r="F198" i="27"/>
  <c r="H198" i="27" s="1"/>
  <c r="E198" i="27"/>
  <c r="F200" i="27"/>
  <c r="H200" i="27" s="1"/>
  <c r="E200" i="27"/>
  <c r="E208" i="27"/>
  <c r="D208" i="27"/>
  <c r="D20" i="27"/>
  <c r="E28" i="27"/>
  <c r="D32" i="27"/>
  <c r="F34" i="27"/>
  <c r="D40" i="27"/>
  <c r="F42" i="27"/>
  <c r="D48" i="27"/>
  <c r="F50" i="27"/>
  <c r="E53" i="27"/>
  <c r="D56" i="27"/>
  <c r="F58" i="27"/>
  <c r="E61" i="27"/>
  <c r="D64" i="27"/>
  <c r="F66" i="27"/>
  <c r="E70" i="27"/>
  <c r="F75" i="27"/>
  <c r="E79" i="27"/>
  <c r="D84" i="27"/>
  <c r="E87" i="27"/>
  <c r="F94" i="27"/>
  <c r="E110" i="27"/>
  <c r="F116" i="27"/>
  <c r="D122" i="27"/>
  <c r="E135" i="27"/>
  <c r="F140" i="27"/>
  <c r="H140" i="27" s="1"/>
  <c r="E152" i="27"/>
  <c r="F158" i="27"/>
  <c r="H158" i="27" s="1"/>
  <c r="F176" i="27"/>
  <c r="H176" i="27" s="1"/>
  <c r="E188" i="27"/>
  <c r="F194" i="27"/>
  <c r="D200" i="27"/>
  <c r="E206" i="27"/>
  <c r="D18" i="27"/>
  <c r="E17" i="27"/>
  <c r="E20" i="27"/>
  <c r="D22" i="27"/>
  <c r="D24" i="27"/>
  <c r="F26" i="27"/>
  <c r="E38" i="27"/>
  <c r="E46" i="27"/>
  <c r="E54" i="27"/>
  <c r="D57" i="27"/>
  <c r="E62" i="27"/>
  <c r="D65" i="27"/>
  <c r="E71" i="27"/>
  <c r="D74" i="27"/>
  <c r="F80" i="27"/>
  <c r="E85" i="27"/>
  <c r="F88" i="27"/>
  <c r="E92" i="27"/>
  <c r="D97" i="27"/>
  <c r="D101" i="27"/>
  <c r="E107" i="27"/>
  <c r="F112" i="27"/>
  <c r="D119" i="27"/>
  <c r="E124" i="27"/>
  <c r="D143" i="27"/>
  <c r="E149" i="27"/>
  <c r="D161" i="27"/>
  <c r="E167" i="27"/>
  <c r="D179" i="27"/>
  <c r="E185" i="27"/>
  <c r="F190" i="27"/>
  <c r="H190" i="27" s="1"/>
  <c r="D197" i="27"/>
  <c r="E202" i="27"/>
  <c r="F208" i="27"/>
  <c r="H208" i="27" s="1"/>
  <c r="E55" i="27"/>
  <c r="D55" i="27"/>
  <c r="E59" i="27"/>
  <c r="D59" i="27"/>
  <c r="E63" i="27"/>
  <c r="D63" i="27"/>
  <c r="E67" i="27"/>
  <c r="D67" i="27"/>
  <c r="F69" i="27"/>
  <c r="E69" i="27"/>
  <c r="F73" i="27"/>
  <c r="E73" i="27"/>
  <c r="E77" i="27"/>
  <c r="D77" i="27"/>
  <c r="E81" i="27"/>
  <c r="F81" i="27"/>
  <c r="D89" i="27"/>
  <c r="F89" i="27"/>
  <c r="F91" i="27"/>
  <c r="E91" i="27"/>
  <c r="D93" i="27"/>
  <c r="F93" i="27"/>
  <c r="E93" i="27"/>
  <c r="E99" i="27"/>
  <c r="F99" i="27"/>
  <c r="D103" i="27"/>
  <c r="F103" i="27"/>
  <c r="E103" i="27"/>
  <c r="F105" i="27"/>
  <c r="E105" i="27"/>
  <c r="F109" i="27"/>
  <c r="E109" i="27"/>
  <c r="D109" i="27"/>
  <c r="D111" i="27"/>
  <c r="F111" i="27"/>
  <c r="E111" i="27"/>
  <c r="F113" i="27"/>
  <c r="E113" i="27"/>
  <c r="F115" i="27"/>
  <c r="E115" i="27"/>
  <c r="D115" i="27"/>
  <c r="E117" i="27"/>
  <c r="D117" i="27"/>
  <c r="F117" i="27"/>
  <c r="E121" i="27"/>
  <c r="D121" i="27"/>
  <c r="F123" i="27"/>
  <c r="E123" i="27"/>
  <c r="D123" i="27"/>
  <c r="E133" i="27"/>
  <c r="D133" i="27"/>
  <c r="F133" i="27"/>
  <c r="H133" i="27" s="1"/>
  <c r="E137" i="27"/>
  <c r="D137" i="27"/>
  <c r="F139" i="27"/>
  <c r="H139" i="27" s="1"/>
  <c r="E139" i="27"/>
  <c r="D139" i="27"/>
  <c r="E141" i="27"/>
  <c r="D141" i="27"/>
  <c r="F141" i="27"/>
  <c r="H141" i="27" s="1"/>
  <c r="D145" i="27"/>
  <c r="F145" i="27"/>
  <c r="H145" i="27" s="1"/>
  <c r="E145" i="27"/>
  <c r="F147" i="27"/>
  <c r="H147" i="27" s="1"/>
  <c r="E147" i="27"/>
  <c r="F151" i="27"/>
  <c r="H151" i="27" s="1"/>
  <c r="E151" i="27"/>
  <c r="D151" i="27"/>
  <c r="D153" i="27"/>
  <c r="F153" i="27"/>
  <c r="H153" i="27" s="1"/>
  <c r="E153" i="27"/>
  <c r="E155" i="27"/>
  <c r="D155" i="27"/>
  <c r="F157" i="27"/>
  <c r="H157" i="27" s="1"/>
  <c r="E157" i="27"/>
  <c r="D157" i="27"/>
  <c r="E159" i="27"/>
  <c r="D159" i="27"/>
  <c r="F159" i="27"/>
  <c r="H159" i="27" s="1"/>
  <c r="D163" i="27"/>
  <c r="F163" i="27"/>
  <c r="E163" i="27"/>
  <c r="F165" i="27"/>
  <c r="H165" i="27" s="1"/>
  <c r="E165" i="27"/>
  <c r="E169" i="27"/>
  <c r="D169" i="27"/>
  <c r="F169" i="27"/>
  <c r="E173" i="27"/>
  <c r="D173" i="27"/>
  <c r="F175" i="27"/>
  <c r="H175" i="27" s="1"/>
  <c r="E175" i="27"/>
  <c r="D175" i="27"/>
  <c r="E177" i="27"/>
  <c r="D177" i="27"/>
  <c r="F177" i="27"/>
  <c r="H177" i="27" s="1"/>
  <c r="D181" i="27"/>
  <c r="F181" i="27"/>
  <c r="E181" i="27"/>
  <c r="F183" i="27"/>
  <c r="H183" i="27" s="1"/>
  <c r="E183" i="27"/>
  <c r="F187" i="27"/>
  <c r="H187" i="27" s="1"/>
  <c r="E187" i="27"/>
  <c r="D187" i="27"/>
  <c r="D189" i="27"/>
  <c r="F189" i="27"/>
  <c r="H189" i="27" s="1"/>
  <c r="E189" i="27"/>
  <c r="F191" i="27"/>
  <c r="H191" i="27" s="1"/>
  <c r="E191" i="27"/>
  <c r="F193" i="27"/>
  <c r="H193" i="27" s="1"/>
  <c r="E193" i="27"/>
  <c r="D193" i="27"/>
  <c r="E195" i="27"/>
  <c r="D195" i="27"/>
  <c r="F195" i="27"/>
  <c r="H195" i="27" s="1"/>
  <c r="E199" i="27"/>
  <c r="D199" i="27"/>
  <c r="F201" i="27"/>
  <c r="H201" i="27" s="1"/>
  <c r="E201" i="27"/>
  <c r="D201" i="27"/>
  <c r="E203" i="27"/>
  <c r="D203" i="27"/>
  <c r="F203" i="27"/>
  <c r="H203" i="27" s="1"/>
  <c r="F205" i="27"/>
  <c r="E205" i="27"/>
  <c r="D205" i="27"/>
  <c r="D207" i="27"/>
  <c r="F207" i="27"/>
  <c r="H207" i="27" s="1"/>
  <c r="E207" i="27"/>
  <c r="F209" i="27"/>
  <c r="H209" i="27" s="1"/>
  <c r="E209" i="27"/>
  <c r="D17" i="27"/>
  <c r="F22" i="27"/>
  <c r="E24" i="27"/>
  <c r="D36" i="27"/>
  <c r="F38" i="27"/>
  <c r="D44" i="27"/>
  <c r="F46" i="27"/>
  <c r="D52" i="27"/>
  <c r="F54" i="27"/>
  <c r="E57" i="27"/>
  <c r="D60" i="27"/>
  <c r="F62" i="27"/>
  <c r="E65" i="27"/>
  <c r="D69" i="27"/>
  <c r="F71" i="27"/>
  <c r="E74" i="27"/>
  <c r="D78" i="27"/>
  <c r="D81" i="27"/>
  <c r="F85" i="27"/>
  <c r="E89" i="27"/>
  <c r="F92" i="27"/>
  <c r="E97" i="27"/>
  <c r="E101" i="27"/>
  <c r="F107" i="27"/>
  <c r="D113" i="27"/>
  <c r="E119" i="27"/>
  <c r="F124" i="27"/>
  <c r="D138" i="27"/>
  <c r="E143" i="27"/>
  <c r="F149" i="27"/>
  <c r="H149" i="27" s="1"/>
  <c r="D156" i="27"/>
  <c r="E161" i="27"/>
  <c r="F167" i="27"/>
  <c r="H167" i="27" s="1"/>
  <c r="D174" i="27"/>
  <c r="E179" i="27"/>
  <c r="F185" i="27"/>
  <c r="H185" i="27" s="1"/>
  <c r="D191" i="27"/>
  <c r="E197" i="27"/>
  <c r="F202" i="27"/>
  <c r="H202" i="27" s="1"/>
  <c r="D209" i="27"/>
  <c r="D210" i="27"/>
  <c r="E210" i="27"/>
  <c r="H96" i="27"/>
  <c r="G125" i="27"/>
  <c r="G218" i="27" s="1"/>
  <c r="G212" i="27"/>
  <c r="G217" i="27" s="1"/>
  <c r="H10" i="27"/>
  <c r="G215" i="27"/>
  <c r="F215" i="27" s="1"/>
  <c r="E215" i="27" s="1"/>
  <c r="D215" i="27" s="1"/>
  <c r="G128" i="27"/>
  <c r="F128" i="27" s="1"/>
  <c r="E128" i="27" s="1"/>
  <c r="D128" i="27" s="1"/>
  <c r="H38" i="27" l="1"/>
  <c r="J38" i="27" s="1"/>
  <c r="H123" i="27"/>
  <c r="H111" i="27"/>
  <c r="H109" i="27"/>
  <c r="H103" i="27"/>
  <c r="H91" i="27"/>
  <c r="H73" i="27"/>
  <c r="H88" i="27"/>
  <c r="H108" i="27"/>
  <c r="H84" i="27"/>
  <c r="H60" i="27"/>
  <c r="H52" i="27"/>
  <c r="H44" i="27"/>
  <c r="J44" i="27" s="1"/>
  <c r="H36" i="27"/>
  <c r="J36" i="27" s="1"/>
  <c r="H51" i="27"/>
  <c r="H35" i="27"/>
  <c r="J35" i="27" s="1"/>
  <c r="H25" i="27"/>
  <c r="H21" i="27"/>
  <c r="J21" i="27" s="1"/>
  <c r="H17" i="27"/>
  <c r="H93" i="27"/>
  <c r="H89" i="27"/>
  <c r="H94" i="27"/>
  <c r="H75" i="27"/>
  <c r="H50" i="27"/>
  <c r="H34" i="27"/>
  <c r="J34" i="27" s="1"/>
  <c r="H120" i="27"/>
  <c r="H118" i="27"/>
  <c r="H106" i="27"/>
  <c r="H86" i="27"/>
  <c r="H49" i="27"/>
  <c r="H45" i="27"/>
  <c r="H33" i="27"/>
  <c r="J33" i="27" s="1"/>
  <c r="H16" i="27"/>
  <c r="H62" i="27"/>
  <c r="H124" i="27"/>
  <c r="H85" i="27"/>
  <c r="H71" i="27"/>
  <c r="H46" i="27"/>
  <c r="H113" i="27"/>
  <c r="H105" i="27"/>
  <c r="H99" i="27"/>
  <c r="H69" i="27"/>
  <c r="H80" i="27"/>
  <c r="H58" i="27"/>
  <c r="H100" i="27"/>
  <c r="H82" i="27"/>
  <c r="H78" i="27"/>
  <c r="H64" i="27"/>
  <c r="H56" i="27"/>
  <c r="H48" i="27"/>
  <c r="H40" i="27"/>
  <c r="H43" i="27"/>
  <c r="H92" i="27"/>
  <c r="H54" i="27"/>
  <c r="H107" i="27"/>
  <c r="H22" i="27"/>
  <c r="H117" i="27"/>
  <c r="H81" i="27"/>
  <c r="H112" i="27"/>
  <c r="H26" i="27"/>
  <c r="H116" i="27"/>
  <c r="H66" i="27"/>
  <c r="H42" i="27"/>
  <c r="H122" i="27"/>
  <c r="H41" i="27"/>
  <c r="H37" i="27"/>
  <c r="J37" i="27" s="1"/>
  <c r="H29" i="27"/>
  <c r="H27" i="27"/>
  <c r="H23" i="27"/>
  <c r="F15" i="27"/>
  <c r="H15" i="27" s="1"/>
  <c r="D15" i="27"/>
  <c r="D132" i="27"/>
  <c r="D154" i="27"/>
  <c r="D204" i="27"/>
  <c r="F68" i="27"/>
  <c r="H68" i="27" s="1"/>
  <c r="D76" i="27"/>
  <c r="D180" i="27"/>
  <c r="E154" i="27"/>
  <c r="E15" i="27"/>
  <c r="F192" i="27"/>
  <c r="H192" i="27" s="1"/>
  <c r="D83" i="27"/>
  <c r="D31" i="27"/>
  <c r="F102" i="27"/>
  <c r="H102" i="27" s="1"/>
  <c r="F114" i="27"/>
  <c r="H114" i="27" s="1"/>
  <c r="H115" i="27"/>
  <c r="E162" i="27"/>
  <c r="D102" i="27"/>
  <c r="E76" i="27"/>
  <c r="D162" i="27"/>
  <c r="F95" i="27"/>
  <c r="H95" i="27" s="1"/>
  <c r="E83" i="27"/>
  <c r="D68" i="27"/>
  <c r="D19" i="27"/>
  <c r="E204" i="27"/>
  <c r="E102" i="27"/>
  <c r="D144" i="27"/>
  <c r="F132" i="27"/>
  <c r="F76" i="27"/>
  <c r="H76" i="27" s="1"/>
  <c r="F144" i="27"/>
  <c r="H144" i="27" s="1"/>
  <c r="H205" i="27"/>
  <c r="F204" i="27"/>
  <c r="H204" i="27" s="1"/>
  <c r="H169" i="27"/>
  <c r="F168" i="27"/>
  <c r="H168" i="27" s="1"/>
  <c r="E144" i="27"/>
  <c r="D114" i="27"/>
  <c r="H156" i="27"/>
  <c r="F154" i="27"/>
  <c r="H154" i="27" s="1"/>
  <c r="E95" i="27"/>
  <c r="F31" i="27"/>
  <c r="H31" i="27" s="1"/>
  <c r="E31" i="27"/>
  <c r="E192" i="27"/>
  <c r="E180" i="27"/>
  <c r="E132" i="27"/>
  <c r="E68" i="27"/>
  <c r="H32" i="27"/>
  <c r="H194" i="27"/>
  <c r="F83" i="27"/>
  <c r="H83" i="27" s="1"/>
  <c r="H181" i="27"/>
  <c r="F180" i="27"/>
  <c r="H180" i="27" s="1"/>
  <c r="E168" i="27"/>
  <c r="H163" i="27"/>
  <c r="F162" i="27"/>
  <c r="H162" i="27" s="1"/>
  <c r="E19" i="27"/>
  <c r="D192" i="27"/>
  <c r="D168" i="27"/>
  <c r="E114" i="27"/>
  <c r="D95" i="27"/>
  <c r="F19" i="27"/>
  <c r="H19" i="27" s="1"/>
  <c r="G219" i="27"/>
  <c r="I9" i="28"/>
  <c r="G9" i="28" s="1"/>
  <c r="E9" i="28" s="1"/>
  <c r="H128" i="27"/>
  <c r="H215" i="27"/>
  <c r="J16" i="27" l="1"/>
  <c r="J32" i="27"/>
  <c r="E125" i="27"/>
  <c r="E218" i="27" s="1"/>
  <c r="D125" i="27"/>
  <c r="D218" i="27" s="1"/>
  <c r="E212" i="27"/>
  <c r="E217" i="27" s="1"/>
  <c r="D212" i="27"/>
  <c r="D217" i="27" s="1"/>
  <c r="F212" i="27"/>
  <c r="H132" i="27"/>
  <c r="F125" i="27"/>
  <c r="K107" i="27" l="1"/>
  <c r="K92" i="27"/>
  <c r="K55" i="27"/>
  <c r="K24" i="27"/>
  <c r="K71" i="27"/>
  <c r="K97" i="27"/>
  <c r="K48" i="27"/>
  <c r="K73" i="27"/>
  <c r="K23" i="27"/>
  <c r="K89" i="27"/>
  <c r="K106" i="27"/>
  <c r="K63" i="27"/>
  <c r="K109" i="27"/>
  <c r="K98" i="27"/>
  <c r="K34" i="27"/>
  <c r="K117" i="27"/>
  <c r="K27" i="27"/>
  <c r="K88" i="27"/>
  <c r="K113" i="27"/>
  <c r="K110" i="27"/>
  <c r="K39" i="27"/>
  <c r="K60" i="27"/>
  <c r="K99" i="27"/>
  <c r="K65" i="27"/>
  <c r="K70" i="27"/>
  <c r="K46" i="27"/>
  <c r="K72" i="27"/>
  <c r="K62" i="27"/>
  <c r="K37" i="27"/>
  <c r="K85" i="27"/>
  <c r="K108" i="27"/>
  <c r="K20" i="27"/>
  <c r="K75" i="27"/>
  <c r="K93" i="27"/>
  <c r="K105" i="27"/>
  <c r="K96" i="27"/>
  <c r="K94" i="27"/>
  <c r="K54" i="27"/>
  <c r="K101" i="27"/>
  <c r="K119" i="27"/>
  <c r="K32" i="27"/>
  <c r="K103" i="27"/>
  <c r="K124" i="27"/>
  <c r="K29" i="27"/>
  <c r="K22" i="27"/>
  <c r="K50" i="27"/>
  <c r="K121" i="27"/>
  <c r="K17" i="27"/>
  <c r="K40" i="27"/>
  <c r="K91" i="27"/>
  <c r="K53" i="27"/>
  <c r="K87" i="27"/>
  <c r="K67" i="27"/>
  <c r="K86" i="27"/>
  <c r="K100" i="27"/>
  <c r="K116" i="27"/>
  <c r="K123" i="27"/>
  <c r="K43" i="27"/>
  <c r="K30" i="27"/>
  <c r="K104" i="27"/>
  <c r="K52" i="27"/>
  <c r="K120" i="27"/>
  <c r="K69" i="27"/>
  <c r="K81" i="27"/>
  <c r="K115" i="27"/>
  <c r="K84" i="27"/>
  <c r="K64" i="27"/>
  <c r="K74" i="27"/>
  <c r="K28" i="27"/>
  <c r="K44" i="27"/>
  <c r="K118" i="27"/>
  <c r="K80" i="27"/>
  <c r="K112" i="27"/>
  <c r="K77" i="27"/>
  <c r="K33" i="27"/>
  <c r="K79" i="27"/>
  <c r="K18" i="27"/>
  <c r="K111" i="27"/>
  <c r="K21" i="27"/>
  <c r="K16" i="27"/>
  <c r="K56" i="27"/>
  <c r="K41" i="27"/>
  <c r="K25" i="27"/>
  <c r="K26" i="27"/>
  <c r="K59" i="27"/>
  <c r="K47" i="27"/>
  <c r="K51" i="27"/>
  <c r="K49" i="27"/>
  <c r="K82" i="27"/>
  <c r="K66" i="27"/>
  <c r="K90" i="27"/>
  <c r="K36" i="27"/>
  <c r="K122" i="27"/>
  <c r="K61" i="27"/>
  <c r="K38" i="27"/>
  <c r="K35" i="27"/>
  <c r="K45" i="27"/>
  <c r="K78" i="27"/>
  <c r="K42" i="27"/>
  <c r="K57" i="27"/>
  <c r="K58" i="27"/>
  <c r="E219" i="27"/>
  <c r="D219" i="27"/>
  <c r="F218" i="27"/>
  <c r="H218" i="27" s="1"/>
  <c r="H125" i="27"/>
  <c r="H212" i="27"/>
  <c r="F217" i="27"/>
  <c r="L43" i="27" l="1"/>
  <c r="L24" i="27"/>
  <c r="L60" i="27"/>
  <c r="L103" i="27"/>
  <c r="L120" i="27"/>
  <c r="L78" i="27"/>
  <c r="L61" i="27"/>
  <c r="L47" i="27"/>
  <c r="L80" i="27"/>
  <c r="L84" i="27"/>
  <c r="L77" i="27"/>
  <c r="L86" i="27"/>
  <c r="L56" i="27"/>
  <c r="L119" i="27"/>
  <c r="L115" i="27"/>
  <c r="L98" i="27"/>
  <c r="L122" i="27"/>
  <c r="L58" i="27"/>
  <c r="L59" i="27"/>
  <c r="L18" i="27"/>
  <c r="L112" i="27"/>
  <c r="L90" i="27"/>
  <c r="L88" i="27"/>
  <c r="L44" i="27"/>
  <c r="L69" i="27"/>
  <c r="L121" i="27"/>
  <c r="L117" i="27"/>
  <c r="L82" i="27"/>
  <c r="L89" i="27"/>
  <c r="L85" i="27"/>
  <c r="L66" i="27"/>
  <c r="L111" i="27"/>
  <c r="L39" i="27"/>
  <c r="L123" i="27"/>
  <c r="L45" i="27"/>
  <c r="L70" i="27"/>
  <c r="L29" i="27"/>
  <c r="L99" i="27"/>
  <c r="L64" i="27"/>
  <c r="L28" i="27"/>
  <c r="L75" i="27"/>
  <c r="L53" i="27"/>
  <c r="L23" i="27"/>
  <c r="L100" i="27"/>
  <c r="L52" i="27"/>
  <c r="L49" i="27"/>
  <c r="L116" i="27"/>
  <c r="L87" i="27"/>
  <c r="L106" i="27"/>
  <c r="L32" i="27"/>
  <c r="L16" i="27"/>
  <c r="L74" i="27"/>
  <c r="L105" i="27"/>
  <c r="L108" i="27"/>
  <c r="L36" i="27"/>
  <c r="L81" i="27"/>
  <c r="L33" i="27"/>
  <c r="L20" i="27"/>
  <c r="L42" i="27"/>
  <c r="L71" i="27"/>
  <c r="L96" i="27"/>
  <c r="L109" i="27"/>
  <c r="L104" i="27"/>
  <c r="L94" i="27"/>
  <c r="L17" i="27"/>
  <c r="L92" i="27"/>
  <c r="L118" i="27"/>
  <c r="L63" i="27"/>
  <c r="L51" i="27"/>
  <c r="L62" i="27"/>
  <c r="L41" i="27"/>
  <c r="L27" i="27"/>
  <c r="L35" i="27"/>
  <c r="L72" i="27"/>
  <c r="L46" i="27"/>
  <c r="L73" i="27"/>
  <c r="L38" i="27"/>
  <c r="L22" i="27"/>
  <c r="L30" i="27"/>
  <c r="L124" i="27"/>
  <c r="L54" i="27"/>
  <c r="L48" i="27"/>
  <c r="L93" i="27"/>
  <c r="L21" i="27"/>
  <c r="L67" i="27"/>
  <c r="L34" i="27"/>
  <c r="L26" i="27"/>
  <c r="L65" i="27"/>
  <c r="L79" i="27"/>
  <c r="L113" i="27"/>
  <c r="L37" i="27"/>
  <c r="L91" i="27"/>
  <c r="L101" i="27"/>
  <c r="L50" i="27"/>
  <c r="L97" i="27"/>
  <c r="L107" i="27"/>
  <c r="L57" i="27"/>
  <c r="L110" i="27"/>
  <c r="L40" i="27"/>
  <c r="L55" i="27"/>
  <c r="L25" i="27"/>
  <c r="H217" i="27"/>
  <c r="F219" i="27"/>
  <c r="M111" i="27" l="1"/>
  <c r="M35" i="27"/>
  <c r="M18" i="27"/>
  <c r="M101" i="27"/>
  <c r="M20" i="27"/>
  <c r="M100" i="27"/>
  <c r="M53" i="27"/>
  <c r="M85" i="27"/>
  <c r="M121" i="27"/>
  <c r="M90" i="27"/>
  <c r="M27" i="27"/>
  <c r="M71" i="27"/>
  <c r="M87" i="27"/>
  <c r="M28" i="27"/>
  <c r="M79" i="27"/>
  <c r="M116" i="27"/>
  <c r="M105" i="27"/>
  <c r="M16" i="27"/>
  <c r="M65" i="27"/>
  <c r="M74" i="27"/>
  <c r="M17" i="27"/>
  <c r="M109" i="27"/>
  <c r="M21" i="27"/>
  <c r="M43" i="27"/>
  <c r="M124" i="27"/>
  <c r="M81" i="27"/>
  <c r="M86" i="27"/>
  <c r="M69" i="27"/>
  <c r="M117" i="27"/>
  <c r="M115" i="27"/>
  <c r="M57" i="27"/>
  <c r="M67" i="27"/>
  <c r="M54" i="27"/>
  <c r="M38" i="27"/>
  <c r="M51" i="27"/>
  <c r="M66" i="27"/>
  <c r="M96" i="27"/>
  <c r="M33" i="27"/>
  <c r="M106" i="27"/>
  <c r="M52" i="27"/>
  <c r="M75" i="27"/>
  <c r="M63" i="27"/>
  <c r="M91" i="27"/>
  <c r="M56" i="27"/>
  <c r="M30" i="27"/>
  <c r="M78" i="27"/>
  <c r="M93" i="27"/>
  <c r="M80" i="27"/>
  <c r="M73" i="27"/>
  <c r="M112" i="27"/>
  <c r="M55" i="27"/>
  <c r="M104" i="27"/>
  <c r="M37" i="27"/>
  <c r="M60" i="27"/>
  <c r="M49" i="27"/>
  <c r="M108" i="27"/>
  <c r="M34" i="27"/>
  <c r="M48" i="27"/>
  <c r="M99" i="27"/>
  <c r="M103" i="27"/>
  <c r="M23" i="27"/>
  <c r="M64" i="27"/>
  <c r="M32" i="27"/>
  <c r="M40" i="27"/>
  <c r="M70" i="27"/>
  <c r="M62" i="27"/>
  <c r="M25" i="27"/>
  <c r="M110" i="27"/>
  <c r="M98" i="27"/>
  <c r="M94" i="27"/>
  <c r="M107" i="27"/>
  <c r="M59" i="27"/>
  <c r="M39" i="27"/>
  <c r="M88" i="27"/>
  <c r="M47" i="27"/>
  <c r="M122" i="27"/>
  <c r="M72" i="27"/>
  <c r="M77" i="27"/>
  <c r="M119" i="27"/>
  <c r="M58" i="27"/>
  <c r="M24" i="27"/>
  <c r="M118" i="27"/>
  <c r="M97" i="27"/>
  <c r="M45" i="27"/>
  <c r="M92" i="27"/>
  <c r="M50" i="27"/>
  <c r="M113" i="27"/>
  <c r="M26" i="27"/>
  <c r="M123" i="27"/>
  <c r="M120" i="27"/>
  <c r="M22" i="27"/>
  <c r="M42" i="27"/>
  <c r="M36" i="27"/>
  <c r="M61" i="27"/>
  <c r="M84" i="27"/>
  <c r="M29" i="27"/>
  <c r="M46" i="27"/>
  <c r="M41" i="27"/>
  <c r="M44" i="27"/>
  <c r="M89" i="27"/>
  <c r="M82" i="27"/>
  <c r="H219" i="27"/>
  <c r="N88" i="27" l="1"/>
  <c r="N89" i="27"/>
  <c r="N29" i="27"/>
  <c r="N23" i="27"/>
  <c r="N22" i="27"/>
  <c r="N70" i="27"/>
  <c r="N58" i="27"/>
  <c r="N59" i="27"/>
  <c r="N74" i="27"/>
  <c r="N108" i="27"/>
  <c r="N98" i="27"/>
  <c r="N105" i="27"/>
  <c r="N67" i="27"/>
  <c r="N90" i="27"/>
  <c r="N97" i="27"/>
  <c r="N119" i="27"/>
  <c r="N47" i="27"/>
  <c r="N107" i="27"/>
  <c r="N25" i="27"/>
  <c r="N40" i="27"/>
  <c r="N103" i="27"/>
  <c r="N104" i="27"/>
  <c r="N73" i="27"/>
  <c r="N87" i="27"/>
  <c r="N124" i="27"/>
  <c r="N84" i="27"/>
  <c r="N113" i="27"/>
  <c r="N16" i="27"/>
  <c r="N65" i="27"/>
  <c r="N116" i="27"/>
  <c r="N17" i="27"/>
  <c r="N41" i="27"/>
  <c r="N61" i="27"/>
  <c r="N94" i="27"/>
  <c r="N32" i="27"/>
  <c r="N49" i="27"/>
  <c r="N79" i="27"/>
  <c r="N56" i="27"/>
  <c r="N30" i="27"/>
  <c r="N44" i="27"/>
  <c r="N77" i="27"/>
  <c r="N80" i="27"/>
  <c r="N27" i="27"/>
  <c r="N85" i="27"/>
  <c r="N118" i="27"/>
  <c r="N55" i="27"/>
  <c r="N99" i="27"/>
  <c r="N120" i="27"/>
  <c r="N75" i="27"/>
  <c r="N35" i="27"/>
  <c r="N78" i="27"/>
  <c r="N37" i="27"/>
  <c r="N62" i="27"/>
  <c r="N28" i="27"/>
  <c r="N66" i="27"/>
  <c r="N24" i="27"/>
  <c r="N71" i="27"/>
  <c r="N57" i="27"/>
  <c r="N53" i="27"/>
  <c r="N33" i="27"/>
  <c r="N45" i="27"/>
  <c r="N54" i="27"/>
  <c r="N86" i="27"/>
  <c r="N46" i="27"/>
  <c r="N117" i="27"/>
  <c r="N20" i="27"/>
  <c r="N39" i="27"/>
  <c r="N64" i="27"/>
  <c r="N111" i="27"/>
  <c r="N72" i="27"/>
  <c r="N81" i="27"/>
  <c r="N50" i="27"/>
  <c r="N69" i="27"/>
  <c r="N110" i="27"/>
  <c r="N51" i="27"/>
  <c r="N63" i="27"/>
  <c r="N121" i="27"/>
  <c r="N18" i="27"/>
  <c r="N91" i="27"/>
  <c r="N42" i="27"/>
  <c r="N48" i="27"/>
  <c r="N123" i="27"/>
  <c r="N101" i="27"/>
  <c r="N112" i="27"/>
  <c r="N122" i="27"/>
  <c r="N34" i="27"/>
  <c r="N26" i="27"/>
  <c r="N92" i="27"/>
  <c r="N115" i="27"/>
  <c r="N43" i="27"/>
  <c r="N100" i="27"/>
  <c r="N93" i="27"/>
  <c r="N96" i="27"/>
  <c r="N60" i="27"/>
  <c r="N36" i="27"/>
  <c r="N82" i="27"/>
  <c r="N106" i="27"/>
  <c r="N38" i="27"/>
  <c r="N21" i="27"/>
  <c r="N109" i="27"/>
  <c r="N52" i="27"/>
  <c r="E3" i="21"/>
  <c r="I10" i="21" s="1"/>
  <c r="Q10" i="21" s="1"/>
  <c r="Y10" i="21" s="1"/>
  <c r="AG10" i="21" s="1"/>
  <c r="AO10" i="21" s="1"/>
  <c r="D5" i="21"/>
  <c r="O118" i="27" l="1"/>
  <c r="O119" i="27"/>
  <c r="O77" i="27"/>
  <c r="O100" i="27"/>
  <c r="O111" i="27"/>
  <c r="O56" i="27"/>
  <c r="O104" i="27"/>
  <c r="O45" i="27"/>
  <c r="O58" i="27"/>
  <c r="O66" i="27"/>
  <c r="O106" i="27"/>
  <c r="O78" i="27"/>
  <c r="O43" i="27"/>
  <c r="O73" i="27"/>
  <c r="O101" i="27"/>
  <c r="O91" i="27"/>
  <c r="O50" i="27"/>
  <c r="O64" i="27"/>
  <c r="O46" i="27"/>
  <c r="O62" i="27"/>
  <c r="O51" i="27"/>
  <c r="O60" i="27"/>
  <c r="O59" i="27"/>
  <c r="O75" i="27"/>
  <c r="O123" i="27"/>
  <c r="O20" i="27"/>
  <c r="O49" i="27"/>
  <c r="O85" i="27"/>
  <c r="O25" i="27"/>
  <c r="O38" i="27"/>
  <c r="O74" i="27"/>
  <c r="O99" i="27"/>
  <c r="O27" i="27"/>
  <c r="O86" i="27"/>
  <c r="O71" i="27"/>
  <c r="O24" i="27"/>
  <c r="O17" i="27"/>
  <c r="O116" i="27"/>
  <c r="O89" i="27"/>
  <c r="O65" i="27"/>
  <c r="O16" i="27"/>
  <c r="O72" i="27"/>
  <c r="O84" i="27"/>
  <c r="O79" i="27"/>
  <c r="O109" i="27"/>
  <c r="O82" i="27"/>
  <c r="O113" i="27"/>
  <c r="O18" i="27"/>
  <c r="O117" i="27"/>
  <c r="O54" i="27"/>
  <c r="O33" i="27"/>
  <c r="O61" i="27"/>
  <c r="O34" i="27"/>
  <c r="O42" i="27"/>
  <c r="O28" i="27"/>
  <c r="O35" i="27"/>
  <c r="O90" i="27"/>
  <c r="O67" i="27"/>
  <c r="O105" i="27"/>
  <c r="O124" i="27"/>
  <c r="O30" i="27"/>
  <c r="O98" i="27"/>
  <c r="O120" i="27"/>
  <c r="O55" i="27"/>
  <c r="O121" i="27"/>
  <c r="O110" i="27"/>
  <c r="O52" i="27"/>
  <c r="O21" i="27"/>
  <c r="O36" i="27"/>
  <c r="O96" i="27"/>
  <c r="O115" i="27"/>
  <c r="O87" i="27"/>
  <c r="O44" i="27"/>
  <c r="O107" i="27"/>
  <c r="O47" i="27"/>
  <c r="O92" i="27"/>
  <c r="O122" i="27"/>
  <c r="O40" i="27"/>
  <c r="O70" i="27"/>
  <c r="O29" i="27"/>
  <c r="O23" i="27"/>
  <c r="O88" i="27"/>
  <c r="O69" i="27"/>
  <c r="O81" i="27"/>
  <c r="O80" i="27"/>
  <c r="O63" i="27"/>
  <c r="O103" i="27"/>
  <c r="O94" i="27"/>
  <c r="O32" i="27"/>
  <c r="O93" i="27"/>
  <c r="O22" i="27"/>
  <c r="O108" i="27"/>
  <c r="O48" i="27"/>
  <c r="O39" i="27"/>
  <c r="O41" i="27"/>
  <c r="O97" i="27"/>
  <c r="O53" i="27"/>
  <c r="O26" i="27"/>
  <c r="O112" i="27"/>
  <c r="O37" i="27"/>
  <c r="O57" i="27"/>
  <c r="D5" i="18"/>
  <c r="G14" i="16"/>
  <c r="F14" i="16"/>
  <c r="E14" i="16"/>
  <c r="D14" i="16"/>
  <c r="C14" i="16"/>
  <c r="G13" i="16"/>
  <c r="F13" i="16"/>
  <c r="E13" i="16"/>
  <c r="D13" i="16"/>
  <c r="C13" i="16"/>
  <c r="C12" i="16" s="1"/>
  <c r="H9" i="16"/>
  <c r="C5" i="16"/>
  <c r="E3" i="16"/>
  <c r="D5" i="15"/>
  <c r="F3" i="15"/>
  <c r="F3" i="14"/>
  <c r="H10" i="14" s="1"/>
  <c r="G10" i="14" s="1"/>
  <c r="I10" i="14" s="1"/>
  <c r="F3" i="12"/>
  <c r="F3"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K35" i="11"/>
  <c r="K34" i="11"/>
  <c r="K33" i="11"/>
  <c r="K32" i="11"/>
  <c r="K31" i="11"/>
  <c r="I9" i="14"/>
  <c r="D5" i="14"/>
  <c r="G27" i="5"/>
  <c r="G23" i="5"/>
  <c r="G19" i="5"/>
  <c r="G15" i="5"/>
  <c r="G11" i="5"/>
  <c r="I213" i="11"/>
  <c r="I126" i="11"/>
  <c r="I9" i="11"/>
  <c r="G113" i="10"/>
  <c r="H92" i="10"/>
  <c r="H71" i="10"/>
  <c r="H11" i="10"/>
  <c r="E3" i="10"/>
  <c r="E3" i="9"/>
  <c r="E3" i="8"/>
  <c r="E3" i="6"/>
  <c r="E3" i="4"/>
  <c r="G3" i="3"/>
  <c r="E12" i="16" l="1"/>
  <c r="G12" i="16"/>
  <c r="H14" i="16"/>
  <c r="D12" i="16"/>
  <c r="L66" i="11"/>
  <c r="H13" i="16"/>
  <c r="P42" i="27"/>
  <c r="P80" i="27"/>
  <c r="P92" i="27"/>
  <c r="P71" i="27"/>
  <c r="P75" i="27"/>
  <c r="P79" i="27"/>
  <c r="P77" i="27"/>
  <c r="P107" i="27"/>
  <c r="P54" i="27"/>
  <c r="P49" i="27"/>
  <c r="P59" i="27"/>
  <c r="P101" i="27"/>
  <c r="P65" i="27"/>
  <c r="P97" i="27"/>
  <c r="P108" i="27"/>
  <c r="P94" i="27"/>
  <c r="P81" i="27"/>
  <c r="P24" i="27"/>
  <c r="P44" i="27"/>
  <c r="P36" i="27"/>
  <c r="P121" i="27"/>
  <c r="P30" i="27"/>
  <c r="P90" i="27"/>
  <c r="P34" i="27"/>
  <c r="P117" i="27"/>
  <c r="P109" i="27"/>
  <c r="P72" i="27"/>
  <c r="P116" i="27"/>
  <c r="P23" i="27"/>
  <c r="P120" i="27"/>
  <c r="P93" i="27"/>
  <c r="P39" i="27"/>
  <c r="P87" i="27"/>
  <c r="P112" i="27"/>
  <c r="P20" i="27"/>
  <c r="P105" i="27"/>
  <c r="P123" i="27"/>
  <c r="P16" i="27"/>
  <c r="P21" i="27"/>
  <c r="P106" i="27"/>
  <c r="P43" i="27"/>
  <c r="P62" i="27"/>
  <c r="P47" i="27"/>
  <c r="P48" i="27"/>
  <c r="P32" i="27"/>
  <c r="P51" i="27"/>
  <c r="P85" i="27"/>
  <c r="P37" i="27"/>
  <c r="P100" i="27"/>
  <c r="P115" i="27"/>
  <c r="P52" i="27"/>
  <c r="P29" i="27"/>
  <c r="P53" i="27"/>
  <c r="P78" i="27"/>
  <c r="P25" i="27"/>
  <c r="P111" i="27"/>
  <c r="P60" i="27"/>
  <c r="P110" i="27"/>
  <c r="P98" i="27"/>
  <c r="P67" i="27"/>
  <c r="P104" i="27"/>
  <c r="P73" i="27"/>
  <c r="P40" i="27"/>
  <c r="P38" i="27"/>
  <c r="P58" i="27"/>
  <c r="P118" i="27"/>
  <c r="P26" i="27"/>
  <c r="P119" i="27"/>
  <c r="P35" i="27"/>
  <c r="P61" i="27"/>
  <c r="P64" i="27"/>
  <c r="P96" i="27"/>
  <c r="P103" i="27"/>
  <c r="P69" i="27"/>
  <c r="P70" i="27"/>
  <c r="P41" i="27"/>
  <c r="P50" i="27"/>
  <c r="P66" i="27"/>
  <c r="P45" i="27"/>
  <c r="P18" i="27"/>
  <c r="P82" i="27"/>
  <c r="P91" i="27"/>
  <c r="P56" i="27"/>
  <c r="P17" i="27"/>
  <c r="P122" i="27"/>
  <c r="P46" i="27"/>
  <c r="P22" i="27"/>
  <c r="P99" i="27"/>
  <c r="P74" i="27"/>
  <c r="P84" i="27"/>
  <c r="P28" i="27"/>
  <c r="P33" i="27"/>
  <c r="P63" i="27"/>
  <c r="P88" i="27"/>
  <c r="P57" i="27"/>
  <c r="P27" i="27"/>
  <c r="P89" i="27"/>
  <c r="P86" i="27"/>
  <c r="P113" i="27"/>
  <c r="P55" i="27"/>
  <c r="P124" i="27"/>
  <c r="F12" i="16"/>
  <c r="G10" i="16"/>
  <c r="F10" i="16" s="1"/>
  <c r="L39" i="11"/>
  <c r="L43" i="11"/>
  <c r="L47" i="11"/>
  <c r="L51" i="11"/>
  <c r="L55" i="11"/>
  <c r="L59" i="11"/>
  <c r="L63" i="11"/>
  <c r="L32" i="11"/>
  <c r="L36" i="11"/>
  <c r="L42" i="11"/>
  <c r="L37" i="11"/>
  <c r="L44" i="11"/>
  <c r="L34" i="11"/>
  <c r="L50" i="11"/>
  <c r="L54" i="11"/>
  <c r="L58" i="11"/>
  <c r="L62" i="11"/>
  <c r="L33" i="11"/>
  <c r="L40" i="11"/>
  <c r="L41" i="11"/>
  <c r="L38" i="11"/>
  <c r="L46" i="11"/>
  <c r="L65" i="11"/>
  <c r="L61" i="11"/>
  <c r="L57" i="11"/>
  <c r="L53" i="11"/>
  <c r="L49" i="11"/>
  <c r="L45" i="11"/>
  <c r="L31" i="11"/>
  <c r="L35" i="11"/>
  <c r="L48" i="11"/>
  <c r="L52" i="11"/>
  <c r="L56" i="11"/>
  <c r="L60" i="11"/>
  <c r="L64" i="11"/>
  <c r="F10" i="14"/>
  <c r="E10" i="14" s="1"/>
  <c r="D10" i="14" s="1"/>
  <c r="D5" i="12"/>
  <c r="H12" i="16" l="1"/>
  <c r="Q62" i="27"/>
  <c r="Q124" i="27"/>
  <c r="Q123" i="27"/>
  <c r="Q43" i="27"/>
  <c r="Q81" i="27"/>
  <c r="Q70" i="27"/>
  <c r="Q57" i="27"/>
  <c r="Q22" i="27"/>
  <c r="Q16" i="27"/>
  <c r="Q48" i="27"/>
  <c r="Q106" i="27"/>
  <c r="Q34" i="27"/>
  <c r="Q86" i="27"/>
  <c r="Q64" i="27"/>
  <c r="Q17" i="27"/>
  <c r="Q101" i="27"/>
  <c r="Q55" i="27"/>
  <c r="Q30" i="27"/>
  <c r="Q26" i="27"/>
  <c r="Q110" i="27"/>
  <c r="Q85" i="27"/>
  <c r="Q21" i="27"/>
  <c r="Q33" i="27"/>
  <c r="Q45" i="27"/>
  <c r="Q108" i="27"/>
  <c r="Q78" i="27"/>
  <c r="Q77" i="27"/>
  <c r="Q28" i="27"/>
  <c r="Q56" i="27"/>
  <c r="Q46" i="27"/>
  <c r="Q67" i="27"/>
  <c r="Q111" i="27"/>
  <c r="Q53" i="27"/>
  <c r="Q100" i="27"/>
  <c r="Q32" i="27"/>
  <c r="Q73" i="27"/>
  <c r="Q121" i="27"/>
  <c r="Q66" i="27"/>
  <c r="Q69" i="27"/>
  <c r="Q61" i="27"/>
  <c r="Q118" i="27"/>
  <c r="Q97" i="27"/>
  <c r="Q104" i="27"/>
  <c r="Q60" i="27"/>
  <c r="Q52" i="27"/>
  <c r="Q116" i="27"/>
  <c r="Q51" i="27"/>
  <c r="Q105" i="27"/>
  <c r="Q20" i="27"/>
  <c r="Q112" i="27"/>
  <c r="Q87" i="27"/>
  <c r="Q39" i="27"/>
  <c r="Q93" i="27"/>
  <c r="Q36" i="27"/>
  <c r="Q90" i="27"/>
  <c r="Q88" i="27"/>
  <c r="Q84" i="27"/>
  <c r="Q50" i="27"/>
  <c r="Q58" i="27"/>
  <c r="Q94" i="27"/>
  <c r="Q115" i="27"/>
  <c r="Q120" i="27"/>
  <c r="Q49" i="27"/>
  <c r="Q23" i="27"/>
  <c r="Q54" i="27"/>
  <c r="Q59" i="27"/>
  <c r="Q107" i="27"/>
  <c r="Q72" i="27"/>
  <c r="Q109" i="27"/>
  <c r="Q89" i="27"/>
  <c r="Q63" i="27"/>
  <c r="Q99" i="27"/>
  <c r="Q82" i="27"/>
  <c r="Q103" i="27"/>
  <c r="Q35" i="27"/>
  <c r="Q40" i="27"/>
  <c r="Q91" i="27"/>
  <c r="Q18" i="27"/>
  <c r="Q41" i="27"/>
  <c r="Q96" i="27"/>
  <c r="Q119" i="27"/>
  <c r="Q38" i="27"/>
  <c r="Q47" i="27"/>
  <c r="Q122" i="27"/>
  <c r="Q98" i="27"/>
  <c r="Q25" i="27"/>
  <c r="Q29" i="27"/>
  <c r="Q117" i="27"/>
  <c r="Q37" i="27"/>
  <c r="Q65" i="27"/>
  <c r="Q79" i="27"/>
  <c r="Q71" i="27"/>
  <c r="Q80" i="27"/>
  <c r="Q42" i="27"/>
  <c r="Q75" i="27"/>
  <c r="Q92" i="27"/>
  <c r="Q74" i="27"/>
  <c r="Q24" i="27"/>
  <c r="Q113" i="27"/>
  <c r="Q27" i="27"/>
  <c r="Q44" i="27"/>
  <c r="E10" i="16"/>
  <c r="D10" i="16" s="1"/>
  <c r="C10" i="16" s="1"/>
  <c r="H10" i="16"/>
  <c r="M55" i="11"/>
  <c r="M48" i="11"/>
  <c r="M64" i="11"/>
  <c r="M61" i="11"/>
  <c r="M58" i="11"/>
  <c r="M59" i="11"/>
  <c r="M35" i="11"/>
  <c r="M65" i="11"/>
  <c r="M54" i="11"/>
  <c r="M47" i="11"/>
  <c r="M51" i="11"/>
  <c r="M31" i="11"/>
  <c r="M46" i="11"/>
  <c r="M50" i="11"/>
  <c r="M42" i="11"/>
  <c r="M39" i="11"/>
  <c r="M43" i="11"/>
  <c r="M45" i="11"/>
  <c r="M41" i="11"/>
  <c r="M63" i="11"/>
  <c r="M60" i="11"/>
  <c r="M49" i="11"/>
  <c r="M40" i="11"/>
  <c r="M37" i="11"/>
  <c r="M56" i="11"/>
  <c r="M53" i="11"/>
  <c r="M33" i="11"/>
  <c r="M52" i="11"/>
  <c r="M57" i="11"/>
  <c r="M38" i="11"/>
  <c r="M62" i="11"/>
  <c r="M34" i="11"/>
  <c r="M36" i="11"/>
  <c r="M32" i="11"/>
  <c r="M66" i="11"/>
  <c r="M44" i="11"/>
  <c r="N44" i="11" l="1"/>
  <c r="R44" i="27"/>
  <c r="R110" i="27"/>
  <c r="R28" i="27"/>
  <c r="R119" i="27"/>
  <c r="R82" i="27"/>
  <c r="R74" i="27"/>
  <c r="R80" i="27"/>
  <c r="R37" i="27"/>
  <c r="R98" i="27"/>
  <c r="R91" i="27"/>
  <c r="R84" i="27"/>
  <c r="R111" i="27"/>
  <c r="R26" i="27"/>
  <c r="R27" i="27"/>
  <c r="R117" i="27"/>
  <c r="R96" i="27"/>
  <c r="R40" i="27"/>
  <c r="R99" i="27"/>
  <c r="R72" i="27"/>
  <c r="R94" i="27"/>
  <c r="R88" i="27"/>
  <c r="R93" i="27"/>
  <c r="R43" i="27"/>
  <c r="R52" i="27"/>
  <c r="R97" i="27"/>
  <c r="R87" i="27"/>
  <c r="R92" i="27"/>
  <c r="R122" i="27"/>
  <c r="R30" i="27"/>
  <c r="R124" i="27"/>
  <c r="R23" i="27"/>
  <c r="R32" i="27"/>
  <c r="R69" i="27"/>
  <c r="R71" i="27"/>
  <c r="R85" i="27"/>
  <c r="R63" i="27"/>
  <c r="R90" i="27"/>
  <c r="R58" i="27"/>
  <c r="R16" i="27"/>
  <c r="R34" i="27"/>
  <c r="R64" i="27"/>
  <c r="R89" i="27"/>
  <c r="R107" i="27"/>
  <c r="R49" i="27"/>
  <c r="R60" i="27"/>
  <c r="R36" i="27"/>
  <c r="R112" i="27"/>
  <c r="R100" i="27"/>
  <c r="R67" i="27"/>
  <c r="R35" i="27"/>
  <c r="R56" i="27"/>
  <c r="R33" i="27"/>
  <c r="R22" i="27"/>
  <c r="R21" i="27"/>
  <c r="R51" i="27"/>
  <c r="R61" i="27"/>
  <c r="R77" i="27"/>
  <c r="R118" i="27"/>
  <c r="R113" i="27"/>
  <c r="R75" i="27"/>
  <c r="R79" i="27"/>
  <c r="R81" i="27"/>
  <c r="R62" i="27"/>
  <c r="R70" i="27"/>
  <c r="R121" i="27"/>
  <c r="R109" i="27"/>
  <c r="R59" i="27"/>
  <c r="R120" i="27"/>
  <c r="R29" i="27"/>
  <c r="R47" i="27"/>
  <c r="R41" i="27"/>
  <c r="R20" i="27"/>
  <c r="R115" i="27"/>
  <c r="R103" i="27"/>
  <c r="R57" i="27"/>
  <c r="R101" i="27"/>
  <c r="R106" i="27"/>
  <c r="R116" i="27"/>
  <c r="R73" i="27"/>
  <c r="R104" i="27"/>
  <c r="R17" i="27"/>
  <c r="R46" i="27"/>
  <c r="R24" i="27"/>
  <c r="R42" i="27"/>
  <c r="R65" i="27"/>
  <c r="R78" i="27"/>
  <c r="R108" i="27"/>
  <c r="R45" i="27"/>
  <c r="R54" i="27"/>
  <c r="R48" i="27"/>
  <c r="R25" i="27"/>
  <c r="R38" i="27"/>
  <c r="R18" i="27"/>
  <c r="R66" i="27"/>
  <c r="R55" i="27"/>
  <c r="R39" i="27"/>
  <c r="R105" i="27"/>
  <c r="R53" i="27"/>
  <c r="R50" i="27"/>
  <c r="R86" i="27"/>
  <c r="R123" i="27"/>
  <c r="N47" i="11"/>
  <c r="N36" i="11"/>
  <c r="N53" i="11"/>
  <c r="N50" i="11"/>
  <c r="N64" i="11"/>
  <c r="N56" i="11"/>
  <c r="N46" i="11"/>
  <c r="N58" i="11"/>
  <c r="N66" i="11"/>
  <c r="N62" i="11"/>
  <c r="N52" i="11"/>
  <c r="N37" i="11"/>
  <c r="N63" i="11"/>
  <c r="N39" i="11"/>
  <c r="N31" i="11"/>
  <c r="N65" i="11"/>
  <c r="N61" i="11"/>
  <c r="N57" i="11"/>
  <c r="N49" i="11"/>
  <c r="N45" i="11"/>
  <c r="N34" i="11"/>
  <c r="N60" i="11"/>
  <c r="N43" i="11"/>
  <c r="N54" i="11"/>
  <c r="N32" i="11"/>
  <c r="N38" i="11"/>
  <c r="N33" i="11"/>
  <c r="N40" i="11"/>
  <c r="N41" i="11"/>
  <c r="N42" i="11"/>
  <c r="N51" i="11"/>
  <c r="N35" i="11"/>
  <c r="N48" i="11"/>
  <c r="N59" i="11"/>
  <c r="N55" i="11"/>
  <c r="S63" i="27" l="1"/>
  <c r="S62" i="27"/>
  <c r="S16" i="27"/>
  <c r="S123" i="27"/>
  <c r="S27" i="27"/>
  <c r="S55" i="27"/>
  <c r="S25" i="27"/>
  <c r="S35" i="27"/>
  <c r="S90" i="27"/>
  <c r="S40" i="27"/>
  <c r="S36" i="27"/>
  <c r="S85" i="27"/>
  <c r="S20" i="27"/>
  <c r="S122" i="27"/>
  <c r="S41" i="27"/>
  <c r="S21" i="27"/>
  <c r="S89" i="27"/>
  <c r="S99" i="27"/>
  <c r="S105" i="27"/>
  <c r="S18" i="27"/>
  <c r="S54" i="27"/>
  <c r="S46" i="27"/>
  <c r="S106" i="27"/>
  <c r="S103" i="27"/>
  <c r="S51" i="27"/>
  <c r="S56" i="27"/>
  <c r="S112" i="27"/>
  <c r="S107" i="27"/>
  <c r="S113" i="27"/>
  <c r="S58" i="27"/>
  <c r="S86" i="27"/>
  <c r="S116" i="27"/>
  <c r="S59" i="27"/>
  <c r="S34" i="27"/>
  <c r="S98" i="27"/>
  <c r="S65" i="27"/>
  <c r="S93" i="27"/>
  <c r="S47" i="27"/>
  <c r="S109" i="27"/>
  <c r="S81" i="27"/>
  <c r="S92" i="27"/>
  <c r="S22" i="27"/>
  <c r="S67" i="27"/>
  <c r="S88" i="27"/>
  <c r="S117" i="27"/>
  <c r="S118" i="27"/>
  <c r="S71" i="27"/>
  <c r="S124" i="27"/>
  <c r="S111" i="27"/>
  <c r="S84" i="27"/>
  <c r="S37" i="27"/>
  <c r="S30" i="27"/>
  <c r="S80" i="27"/>
  <c r="S53" i="27"/>
  <c r="S66" i="27"/>
  <c r="S48" i="27"/>
  <c r="S45" i="27"/>
  <c r="S42" i="27"/>
  <c r="S74" i="27"/>
  <c r="S101" i="27"/>
  <c r="S94" i="27"/>
  <c r="S29" i="27"/>
  <c r="S121" i="27"/>
  <c r="S79" i="27"/>
  <c r="S61" i="27"/>
  <c r="S33" i="27"/>
  <c r="S100" i="27"/>
  <c r="S60" i="27"/>
  <c r="S49" i="27"/>
  <c r="S64" i="27"/>
  <c r="S104" i="27"/>
  <c r="S69" i="27"/>
  <c r="S32" i="27"/>
  <c r="S91" i="27"/>
  <c r="S23" i="27"/>
  <c r="S26" i="27"/>
  <c r="S52" i="27"/>
  <c r="S108" i="27"/>
  <c r="S24" i="27"/>
  <c r="S44" i="27"/>
  <c r="S73" i="27"/>
  <c r="S57" i="27"/>
  <c r="S115" i="27"/>
  <c r="S97" i="27"/>
  <c r="S120" i="27"/>
  <c r="S70" i="27"/>
  <c r="S75" i="27"/>
  <c r="S96" i="27"/>
  <c r="S17" i="27"/>
  <c r="S77" i="27"/>
  <c r="S82" i="27"/>
  <c r="S87" i="27"/>
  <c r="S119" i="27"/>
  <c r="S28" i="27"/>
  <c r="S110" i="27"/>
  <c r="S43" i="27"/>
  <c r="S50" i="27"/>
  <c r="S39" i="27"/>
  <c r="S38" i="27"/>
  <c r="S72" i="27"/>
  <c r="S78" i="27"/>
  <c r="O51" i="11"/>
  <c r="O59" i="11"/>
  <c r="O33" i="11"/>
  <c r="O65" i="11"/>
  <c r="O64" i="11"/>
  <c r="O47" i="11"/>
  <c r="O42" i="11"/>
  <c r="O38" i="11"/>
  <c r="O60" i="11"/>
  <c r="O57" i="11"/>
  <c r="O31" i="11"/>
  <c r="O52" i="11"/>
  <c r="O46" i="11"/>
  <c r="O50" i="11"/>
  <c r="O43" i="11"/>
  <c r="O37" i="11"/>
  <c r="O58" i="11"/>
  <c r="O48" i="11"/>
  <c r="O41" i="11"/>
  <c r="O32" i="11"/>
  <c r="O34" i="11"/>
  <c r="O44" i="11"/>
  <c r="O39" i="11"/>
  <c r="O62" i="11"/>
  <c r="O56" i="11"/>
  <c r="O53" i="11"/>
  <c r="O49" i="11"/>
  <c r="O55" i="11"/>
  <c r="O35" i="11"/>
  <c r="O40" i="11"/>
  <c r="O54" i="11"/>
  <c r="O45" i="11"/>
  <c r="O61" i="11"/>
  <c r="O63" i="11"/>
  <c r="O66" i="11"/>
  <c r="O36" i="11"/>
  <c r="T63" i="27" l="1"/>
  <c r="T25" i="27"/>
  <c r="T24" i="27"/>
  <c r="T36" i="27"/>
  <c r="T61" i="27"/>
  <c r="T91" i="27"/>
  <c r="T28" i="27"/>
  <c r="T77" i="27"/>
  <c r="T120" i="27"/>
  <c r="T105" i="27"/>
  <c r="T49" i="27"/>
  <c r="T42" i="27"/>
  <c r="T53" i="27"/>
  <c r="T80" i="27"/>
  <c r="T62" i="27"/>
  <c r="T111" i="27"/>
  <c r="T46" i="27"/>
  <c r="T88" i="27"/>
  <c r="T56" i="27"/>
  <c r="T16" i="27"/>
  <c r="T17" i="27"/>
  <c r="T39" i="27"/>
  <c r="T81" i="27"/>
  <c r="T116" i="27"/>
  <c r="T70" i="27"/>
  <c r="T57" i="27"/>
  <c r="T108" i="27"/>
  <c r="T104" i="27"/>
  <c r="T100" i="27"/>
  <c r="T121" i="27"/>
  <c r="T101" i="27"/>
  <c r="T48" i="27"/>
  <c r="T30" i="27"/>
  <c r="T124" i="27"/>
  <c r="T27" i="27"/>
  <c r="T55" i="27"/>
  <c r="T60" i="27"/>
  <c r="T79" i="27"/>
  <c r="T94" i="27"/>
  <c r="T78" i="27"/>
  <c r="T50" i="27"/>
  <c r="T98" i="27"/>
  <c r="T71" i="27"/>
  <c r="T67" i="27"/>
  <c r="T109" i="27"/>
  <c r="T119" i="27"/>
  <c r="T34" i="27"/>
  <c r="T35" i="27"/>
  <c r="T59" i="27"/>
  <c r="T45" i="27"/>
  <c r="T86" i="27"/>
  <c r="T32" i="27"/>
  <c r="T107" i="27"/>
  <c r="T51" i="27"/>
  <c r="T97" i="27"/>
  <c r="T93" i="27"/>
  <c r="T65" i="27"/>
  <c r="T40" i="27"/>
  <c r="T37" i="27"/>
  <c r="T44" i="27"/>
  <c r="T72" i="27"/>
  <c r="T43" i="27"/>
  <c r="T90" i="27"/>
  <c r="T118" i="27"/>
  <c r="T22" i="27"/>
  <c r="T47" i="27"/>
  <c r="T54" i="27"/>
  <c r="T52" i="27"/>
  <c r="T87" i="27"/>
  <c r="T89" i="27"/>
  <c r="T21" i="27"/>
  <c r="T41" i="27"/>
  <c r="T26" i="27"/>
  <c r="T69" i="27"/>
  <c r="T96" i="27"/>
  <c r="T75" i="27"/>
  <c r="T115" i="27"/>
  <c r="T74" i="27"/>
  <c r="T73" i="27"/>
  <c r="T99" i="27"/>
  <c r="T123" i="27"/>
  <c r="T84" i="27"/>
  <c r="T64" i="27"/>
  <c r="T33" i="27"/>
  <c r="T29" i="27"/>
  <c r="T103" i="27"/>
  <c r="T38" i="27"/>
  <c r="T85" i="27"/>
  <c r="T58" i="27"/>
  <c r="T117" i="27"/>
  <c r="T92" i="27"/>
  <c r="T106" i="27"/>
  <c r="T18" i="27"/>
  <c r="T110" i="27"/>
  <c r="T82" i="27"/>
  <c r="T122" i="27"/>
  <c r="T113" i="27"/>
  <c r="T20" i="27"/>
  <c r="T66" i="27"/>
  <c r="T23" i="27"/>
  <c r="T112" i="27"/>
  <c r="P45" i="11"/>
  <c r="P56" i="11"/>
  <c r="P58" i="11"/>
  <c r="P46" i="11"/>
  <c r="P60" i="11"/>
  <c r="P64" i="11"/>
  <c r="P66" i="11"/>
  <c r="P54" i="11"/>
  <c r="P49" i="11"/>
  <c r="P62" i="11"/>
  <c r="P32" i="11"/>
  <c r="P37" i="11"/>
  <c r="P52" i="11"/>
  <c r="P38" i="11"/>
  <c r="P65" i="11"/>
  <c r="P41" i="11"/>
  <c r="P43" i="11"/>
  <c r="P31" i="11"/>
  <c r="P42" i="11"/>
  <c r="P33" i="11"/>
  <c r="P55" i="11"/>
  <c r="P34" i="11"/>
  <c r="P63" i="11"/>
  <c r="P40" i="11"/>
  <c r="P51" i="11"/>
  <c r="P39" i="11"/>
  <c r="P36" i="11"/>
  <c r="P61" i="11"/>
  <c r="P35" i="11"/>
  <c r="P53" i="11"/>
  <c r="P44" i="11"/>
  <c r="P48" i="11"/>
  <c r="P50" i="11"/>
  <c r="P57" i="11"/>
  <c r="P47" i="11"/>
  <c r="P59" i="11"/>
  <c r="U55" i="27" l="1"/>
  <c r="U36" i="27"/>
  <c r="U89" i="27"/>
  <c r="U58" i="27"/>
  <c r="U93" i="27"/>
  <c r="U104" i="27"/>
  <c r="U98" i="27"/>
  <c r="U74" i="27"/>
  <c r="U47" i="27"/>
  <c r="U43" i="27"/>
  <c r="U79" i="27"/>
  <c r="U112" i="27"/>
  <c r="U29" i="27"/>
  <c r="U123" i="27"/>
  <c r="U87" i="27"/>
  <c r="U22" i="27"/>
  <c r="U72" i="27"/>
  <c r="U65" i="27"/>
  <c r="U107" i="27"/>
  <c r="U59" i="27"/>
  <c r="U30" i="27"/>
  <c r="U80" i="27"/>
  <c r="U121" i="27"/>
  <c r="U20" i="27"/>
  <c r="U18" i="27"/>
  <c r="U115" i="27"/>
  <c r="U35" i="27"/>
  <c r="U73" i="27"/>
  <c r="U63" i="27"/>
  <c r="U113" i="27"/>
  <c r="U32" i="27"/>
  <c r="U24" i="27"/>
  <c r="U26" i="27"/>
  <c r="U33" i="27"/>
  <c r="U108" i="27"/>
  <c r="U91" i="27"/>
  <c r="U57" i="27"/>
  <c r="U23" i="27"/>
  <c r="U122" i="27"/>
  <c r="U106" i="27"/>
  <c r="U85" i="27"/>
  <c r="U61" i="27"/>
  <c r="U25" i="27"/>
  <c r="U75" i="27"/>
  <c r="U48" i="27"/>
  <c r="U64" i="27"/>
  <c r="U97" i="27"/>
  <c r="U86" i="27"/>
  <c r="U34" i="27"/>
  <c r="U109" i="27"/>
  <c r="U50" i="27"/>
  <c r="U100" i="27"/>
  <c r="U120" i="27"/>
  <c r="U53" i="27"/>
  <c r="U77" i="27"/>
  <c r="U81" i="27"/>
  <c r="U39" i="27"/>
  <c r="U60" i="27"/>
  <c r="U27" i="27"/>
  <c r="U70" i="27"/>
  <c r="U66" i="27"/>
  <c r="U82" i="27"/>
  <c r="U92" i="27"/>
  <c r="U38" i="27"/>
  <c r="U49" i="27"/>
  <c r="U96" i="27"/>
  <c r="U41" i="27"/>
  <c r="U52" i="27"/>
  <c r="U118" i="27"/>
  <c r="U103" i="27"/>
  <c r="U84" i="27"/>
  <c r="U51" i="27"/>
  <c r="U45" i="27"/>
  <c r="U119" i="27"/>
  <c r="U67" i="27"/>
  <c r="U78" i="27"/>
  <c r="U44" i="27"/>
  <c r="U56" i="27"/>
  <c r="U42" i="27"/>
  <c r="U28" i="27"/>
  <c r="U88" i="27"/>
  <c r="U46" i="27"/>
  <c r="U124" i="27"/>
  <c r="U40" i="27"/>
  <c r="U110" i="27"/>
  <c r="U117" i="27"/>
  <c r="U111" i="27"/>
  <c r="U116" i="27"/>
  <c r="U69" i="27"/>
  <c r="U21" i="27"/>
  <c r="U54" i="27"/>
  <c r="U90" i="27"/>
  <c r="U99" i="27"/>
  <c r="U71" i="27"/>
  <c r="U101" i="27"/>
  <c r="U37" i="27"/>
  <c r="U17" i="27"/>
  <c r="U62" i="27"/>
  <c r="U105" i="27"/>
  <c r="U16" i="27"/>
  <c r="U94" i="27"/>
  <c r="Q36" i="11"/>
  <c r="Q44" i="11"/>
  <c r="Q33" i="11"/>
  <c r="Q37" i="11"/>
  <c r="Q46" i="11"/>
  <c r="Q53" i="11"/>
  <c r="Q34" i="11"/>
  <c r="Q65" i="11"/>
  <c r="Q66" i="11"/>
  <c r="Q58" i="11"/>
  <c r="Q35" i="11"/>
  <c r="Q51" i="11"/>
  <c r="Q55" i="11"/>
  <c r="Q31" i="11"/>
  <c r="Q38" i="11"/>
  <c r="Q62" i="11"/>
  <c r="Q64" i="11"/>
  <c r="Q56" i="11"/>
  <c r="Q47" i="11"/>
  <c r="Q63" i="11"/>
  <c r="Q41" i="11"/>
  <c r="Q54" i="11"/>
  <c r="Q57" i="11"/>
  <c r="Q39" i="11"/>
  <c r="Q42" i="11"/>
  <c r="Q32" i="11"/>
  <c r="Q50" i="11"/>
  <c r="Q59" i="11"/>
  <c r="Q48" i="11"/>
  <c r="Q61" i="11"/>
  <c r="Q40" i="11"/>
  <c r="Q43" i="11"/>
  <c r="Q52" i="11"/>
  <c r="Q49" i="11"/>
  <c r="Q60" i="11"/>
  <c r="Q45" i="11"/>
  <c r="V69" i="27" l="1"/>
  <c r="V91" i="27"/>
  <c r="V94" i="27"/>
  <c r="V44" i="27"/>
  <c r="V72" i="27"/>
  <c r="V85" i="27"/>
  <c r="V110" i="27"/>
  <c r="V29" i="27"/>
  <c r="V92" i="27"/>
  <c r="V108" i="27"/>
  <c r="V45" i="27"/>
  <c r="V39" i="27"/>
  <c r="V75" i="27"/>
  <c r="V23" i="27"/>
  <c r="V118" i="27"/>
  <c r="V120" i="27"/>
  <c r="V33" i="27"/>
  <c r="V17" i="27"/>
  <c r="V58" i="27"/>
  <c r="V105" i="27"/>
  <c r="V101" i="27"/>
  <c r="V88" i="27"/>
  <c r="V40" i="27"/>
  <c r="V34" i="27"/>
  <c r="V79" i="27"/>
  <c r="V26" i="27"/>
  <c r="V74" i="27"/>
  <c r="V62" i="27"/>
  <c r="V71" i="27"/>
  <c r="V54" i="27"/>
  <c r="V111" i="27"/>
  <c r="V21" i="27"/>
  <c r="V78" i="27"/>
  <c r="V51" i="27"/>
  <c r="V52" i="27"/>
  <c r="V38" i="27"/>
  <c r="V70" i="27"/>
  <c r="V81" i="27"/>
  <c r="V100" i="27"/>
  <c r="V86" i="27"/>
  <c r="V106" i="27"/>
  <c r="V20" i="27"/>
  <c r="V22" i="27"/>
  <c r="V82" i="27"/>
  <c r="V73" i="27"/>
  <c r="V43" i="27"/>
  <c r="V16" i="27"/>
  <c r="V37" i="27"/>
  <c r="V59" i="27"/>
  <c r="V90" i="27"/>
  <c r="V116" i="27"/>
  <c r="V18" i="27"/>
  <c r="V112" i="27"/>
  <c r="V65" i="27"/>
  <c r="V28" i="27"/>
  <c r="V123" i="27"/>
  <c r="V63" i="27"/>
  <c r="V35" i="27"/>
  <c r="V115" i="27"/>
  <c r="V124" i="27"/>
  <c r="V42" i="27"/>
  <c r="V67" i="27"/>
  <c r="V84" i="27"/>
  <c r="V41" i="27"/>
  <c r="V27" i="27"/>
  <c r="V77" i="27"/>
  <c r="V50" i="27"/>
  <c r="V97" i="27"/>
  <c r="V87" i="27"/>
  <c r="V49" i="27"/>
  <c r="V66" i="27"/>
  <c r="V24" i="27"/>
  <c r="V121" i="27"/>
  <c r="V32" i="27"/>
  <c r="V47" i="27"/>
  <c r="V25" i="27"/>
  <c r="V122" i="27"/>
  <c r="V107" i="27"/>
  <c r="V80" i="27"/>
  <c r="V113" i="27"/>
  <c r="V57" i="27"/>
  <c r="V46" i="27"/>
  <c r="V56" i="27"/>
  <c r="V119" i="27"/>
  <c r="V103" i="27"/>
  <c r="V96" i="27"/>
  <c r="V117" i="27"/>
  <c r="V60" i="27"/>
  <c r="V53" i="27"/>
  <c r="V109" i="27"/>
  <c r="V64" i="27"/>
  <c r="V48" i="27"/>
  <c r="V55" i="27"/>
  <c r="V36" i="27"/>
  <c r="V98" i="27"/>
  <c r="V93" i="27"/>
  <c r="V89" i="27"/>
  <c r="V61" i="27"/>
  <c r="V30" i="27"/>
  <c r="V99" i="27"/>
  <c r="V104" i="27"/>
  <c r="R48" i="11"/>
  <c r="R45" i="11"/>
  <c r="R60" i="11"/>
  <c r="R59" i="11"/>
  <c r="R63" i="11"/>
  <c r="R51" i="11"/>
  <c r="R65" i="11"/>
  <c r="R49" i="11"/>
  <c r="R50" i="11"/>
  <c r="R57" i="11"/>
  <c r="R47" i="11"/>
  <c r="R38" i="11"/>
  <c r="R35" i="11"/>
  <c r="R34" i="11"/>
  <c r="R33" i="11"/>
  <c r="R43" i="11"/>
  <c r="R39" i="11"/>
  <c r="R62" i="11"/>
  <c r="R37" i="11"/>
  <c r="R40" i="11"/>
  <c r="R52" i="11"/>
  <c r="R61" i="11"/>
  <c r="R32" i="11"/>
  <c r="R54" i="11"/>
  <c r="R56" i="11"/>
  <c r="R31" i="11"/>
  <c r="R58" i="11"/>
  <c r="R53" i="11"/>
  <c r="R44" i="11"/>
  <c r="R42" i="11"/>
  <c r="R41" i="11"/>
  <c r="R64" i="11"/>
  <c r="R55" i="11"/>
  <c r="R66" i="11"/>
  <c r="R46" i="11"/>
  <c r="R36" i="11"/>
  <c r="W56" i="27" l="1"/>
  <c r="W53" i="27"/>
  <c r="W27" i="27"/>
  <c r="W67" i="27"/>
  <c r="W72" i="27"/>
  <c r="W16" i="27"/>
  <c r="W61" i="27"/>
  <c r="W36" i="27"/>
  <c r="W32" i="27"/>
  <c r="W30" i="27"/>
  <c r="W78" i="27"/>
  <c r="W93" i="27"/>
  <c r="W48" i="27"/>
  <c r="W60" i="27"/>
  <c r="W119" i="27"/>
  <c r="W113" i="27"/>
  <c r="W25" i="27"/>
  <c r="W24" i="27"/>
  <c r="W97" i="27"/>
  <c r="W69" i="27"/>
  <c r="W42" i="27"/>
  <c r="W63" i="27"/>
  <c r="W59" i="27"/>
  <c r="W118" i="27"/>
  <c r="W81" i="27"/>
  <c r="W107" i="27"/>
  <c r="W20" i="27"/>
  <c r="W74" i="27"/>
  <c r="W87" i="27"/>
  <c r="W38" i="27"/>
  <c r="W106" i="27"/>
  <c r="W108" i="27"/>
  <c r="W73" i="27"/>
  <c r="W21" i="27"/>
  <c r="W116" i="27"/>
  <c r="W123" i="27"/>
  <c r="W122" i="27"/>
  <c r="W58" i="27"/>
  <c r="W99" i="27"/>
  <c r="W85" i="27"/>
  <c r="W91" i="27"/>
  <c r="W22" i="27"/>
  <c r="W49" i="27"/>
  <c r="W101" i="27"/>
  <c r="W89" i="27"/>
  <c r="W55" i="27"/>
  <c r="W34" i="27"/>
  <c r="W111" i="27"/>
  <c r="W28" i="27"/>
  <c r="W94" i="27"/>
  <c r="W77" i="27"/>
  <c r="W46" i="27"/>
  <c r="W112" i="27"/>
  <c r="W90" i="27"/>
  <c r="W45" i="27"/>
  <c r="W103" i="27"/>
  <c r="W57" i="27"/>
  <c r="W64" i="27"/>
  <c r="W110" i="27"/>
  <c r="W44" i="27"/>
  <c r="W29" i="27"/>
  <c r="W66" i="27"/>
  <c r="W104" i="27"/>
  <c r="W71" i="27"/>
  <c r="W26" i="27"/>
  <c r="W79" i="27"/>
  <c r="W86" i="27"/>
  <c r="W41" i="27"/>
  <c r="W124" i="27"/>
  <c r="W50" i="27"/>
  <c r="W80" i="27"/>
  <c r="W105" i="27"/>
  <c r="W92" i="27"/>
  <c r="W120" i="27"/>
  <c r="W52" i="27"/>
  <c r="W65" i="27"/>
  <c r="W43" i="27"/>
  <c r="W117" i="27"/>
  <c r="W121" i="27"/>
  <c r="W35" i="27"/>
  <c r="W18" i="27"/>
  <c r="W37" i="27"/>
  <c r="W47" i="27"/>
  <c r="W70" i="27"/>
  <c r="W109" i="27"/>
  <c r="W40" i="27"/>
  <c r="W88" i="27"/>
  <c r="W17" i="27"/>
  <c r="W62" i="27"/>
  <c r="W33" i="27"/>
  <c r="W82" i="27"/>
  <c r="W100" i="27"/>
  <c r="W84" i="27"/>
  <c r="W115" i="27"/>
  <c r="W96" i="27"/>
  <c r="W54" i="27"/>
  <c r="W23" i="27"/>
  <c r="W98" i="27"/>
  <c r="W75" i="27"/>
  <c r="W39" i="27"/>
  <c r="W51" i="27"/>
  <c r="S41" i="11"/>
  <c r="S48" i="11"/>
  <c r="S53" i="11"/>
  <c r="S40" i="11"/>
  <c r="S35" i="11"/>
  <c r="S63" i="11"/>
  <c r="S42" i="11"/>
  <c r="S32" i="11"/>
  <c r="S43" i="11"/>
  <c r="S49" i="11"/>
  <c r="S55" i="11"/>
  <c r="S31" i="11"/>
  <c r="S61" i="11"/>
  <c r="S62" i="11"/>
  <c r="S33" i="11"/>
  <c r="S47" i="11"/>
  <c r="S65" i="11"/>
  <c r="S60" i="11"/>
  <c r="S46" i="11"/>
  <c r="S54" i="11"/>
  <c r="S50" i="11"/>
  <c r="S66" i="11"/>
  <c r="S58" i="11"/>
  <c r="S37" i="11"/>
  <c r="S38" i="11"/>
  <c r="S59" i="11"/>
  <c r="S36" i="11"/>
  <c r="S64" i="11"/>
  <c r="S44" i="11"/>
  <c r="S56" i="11"/>
  <c r="S52" i="11"/>
  <c r="S39" i="11"/>
  <c r="S34" i="11"/>
  <c r="S57" i="11"/>
  <c r="S51" i="11"/>
  <c r="S45" i="11"/>
  <c r="X51" i="27" l="1"/>
  <c r="X50" i="27"/>
  <c r="X61" i="27"/>
  <c r="X92" i="27"/>
  <c r="X84" i="27"/>
  <c r="X62" i="27"/>
  <c r="X79" i="27"/>
  <c r="X55" i="27"/>
  <c r="X60" i="27"/>
  <c r="X23" i="27"/>
  <c r="X32" i="27"/>
  <c r="X25" i="27"/>
  <c r="X67" i="27"/>
  <c r="X58" i="27"/>
  <c r="X121" i="27"/>
  <c r="X22" i="27"/>
  <c r="X43" i="27"/>
  <c r="X97" i="27"/>
  <c r="X59" i="27"/>
  <c r="X18" i="27"/>
  <c r="X78" i="27"/>
  <c r="X74" i="27"/>
  <c r="X46" i="27"/>
  <c r="X109" i="27"/>
  <c r="X98" i="27"/>
  <c r="X115" i="27"/>
  <c r="X94" i="27"/>
  <c r="X88" i="27"/>
  <c r="X47" i="27"/>
  <c r="X52" i="27"/>
  <c r="X80" i="27"/>
  <c r="X86" i="27"/>
  <c r="X104" i="27"/>
  <c r="X110" i="27"/>
  <c r="X45" i="27"/>
  <c r="X77" i="27"/>
  <c r="X34" i="27"/>
  <c r="X49" i="27"/>
  <c r="X85" i="27"/>
  <c r="X20" i="27"/>
  <c r="X108" i="27"/>
  <c r="X39" i="27"/>
  <c r="X54" i="27"/>
  <c r="X100" i="27"/>
  <c r="X118" i="27"/>
  <c r="X16" i="27"/>
  <c r="X101" i="27"/>
  <c r="X91" i="27"/>
  <c r="X66" i="27"/>
  <c r="X57" i="27"/>
  <c r="X48" i="27"/>
  <c r="X65" i="27"/>
  <c r="X93" i="27"/>
  <c r="X124" i="27"/>
  <c r="X26" i="27"/>
  <c r="X17" i="27"/>
  <c r="X70" i="27"/>
  <c r="X111" i="27"/>
  <c r="X29" i="27"/>
  <c r="X81" i="27"/>
  <c r="X122" i="27"/>
  <c r="X28" i="27"/>
  <c r="X112" i="27"/>
  <c r="X107" i="27"/>
  <c r="X119" i="27"/>
  <c r="X87" i="27"/>
  <c r="X72" i="27"/>
  <c r="X56" i="27"/>
  <c r="X103" i="27"/>
  <c r="X63" i="27"/>
  <c r="X75" i="27"/>
  <c r="X96" i="27"/>
  <c r="X82" i="27"/>
  <c r="X27" i="27"/>
  <c r="X53" i="27"/>
  <c r="X116" i="27"/>
  <c r="X44" i="27"/>
  <c r="X123" i="27"/>
  <c r="X90" i="27"/>
  <c r="X105" i="27"/>
  <c r="X41" i="27"/>
  <c r="X71" i="27"/>
  <c r="X89" i="27"/>
  <c r="X21" i="27"/>
  <c r="X36" i="27"/>
  <c r="X73" i="27"/>
  <c r="X69" i="27"/>
  <c r="X33" i="27"/>
  <c r="X106" i="27"/>
  <c r="X38" i="27"/>
  <c r="X42" i="27"/>
  <c r="X99" i="27"/>
  <c r="X64" i="27"/>
  <c r="X30" i="27"/>
  <c r="X117" i="27"/>
  <c r="X120" i="27"/>
  <c r="X40" i="27"/>
  <c r="X37" i="27"/>
  <c r="X113" i="27"/>
  <c r="X24" i="27"/>
  <c r="X35" i="27"/>
  <c r="T51" i="11"/>
  <c r="T47" i="11"/>
  <c r="T46" i="11"/>
  <c r="T52" i="11"/>
  <c r="T58" i="11"/>
  <c r="T31" i="11"/>
  <c r="T40" i="11"/>
  <c r="T56" i="11"/>
  <c r="T66" i="11"/>
  <c r="T55" i="11"/>
  <c r="T53" i="11"/>
  <c r="T34" i="11"/>
  <c r="T44" i="11"/>
  <c r="T38" i="11"/>
  <c r="T50" i="11"/>
  <c r="T60" i="11"/>
  <c r="T62" i="11"/>
  <c r="T49" i="11"/>
  <c r="T63" i="11"/>
  <c r="T41" i="11"/>
  <c r="T36" i="11"/>
  <c r="T54" i="11"/>
  <c r="T32" i="11"/>
  <c r="T57" i="11"/>
  <c r="T59" i="11"/>
  <c r="T33" i="11"/>
  <c r="T42" i="11"/>
  <c r="T45" i="11"/>
  <c r="T39" i="11"/>
  <c r="T64" i="11"/>
  <c r="T37" i="11"/>
  <c r="T65" i="11"/>
  <c r="T61" i="11"/>
  <c r="T43" i="11"/>
  <c r="T35" i="11"/>
  <c r="T48" i="11"/>
  <c r="Y118" i="27" l="1"/>
  <c r="Z118" i="27" s="1"/>
  <c r="Y64" i="27"/>
  <c r="Z64" i="27" s="1"/>
  <c r="Y57" i="27"/>
  <c r="Z57" i="27" s="1"/>
  <c r="Y36" i="27"/>
  <c r="Z36" i="27" s="1"/>
  <c r="Y28" i="27"/>
  <c r="Z28" i="27" s="1"/>
  <c r="Y98" i="27"/>
  <c r="Z98" i="27" s="1"/>
  <c r="Y80" i="27"/>
  <c r="Z80" i="27" s="1"/>
  <c r="Y94" i="27"/>
  <c r="Z94" i="27" s="1"/>
  <c r="Y25" i="27"/>
  <c r="Z25" i="27" s="1"/>
  <c r="Y71" i="27"/>
  <c r="Z71" i="27" s="1"/>
  <c r="Y87" i="27"/>
  <c r="Z87" i="27" s="1"/>
  <c r="Y124" i="27"/>
  <c r="Z124" i="27" s="1"/>
  <c r="Y54" i="27"/>
  <c r="Z54" i="27" s="1"/>
  <c r="Y32" i="27"/>
  <c r="Z32" i="27" s="1"/>
  <c r="Y38" i="27"/>
  <c r="Z38" i="27" s="1"/>
  <c r="Y108" i="27"/>
  <c r="Z108" i="27" s="1"/>
  <c r="Y116" i="27"/>
  <c r="Z116" i="27" s="1"/>
  <c r="Y40" i="27"/>
  <c r="Z40" i="27" s="1"/>
  <c r="Y27" i="27"/>
  <c r="Z27" i="27" s="1"/>
  <c r="Y18" i="27"/>
  <c r="Z18" i="27" s="1"/>
  <c r="Y93" i="27"/>
  <c r="Z93" i="27" s="1"/>
  <c r="Y123" i="27"/>
  <c r="Z123" i="27" s="1"/>
  <c r="Y106" i="27"/>
  <c r="Z106" i="27" s="1"/>
  <c r="Y63" i="27"/>
  <c r="Z63" i="27" s="1"/>
  <c r="Y111" i="27"/>
  <c r="Z111" i="27" s="1"/>
  <c r="Y112" i="27"/>
  <c r="Z112" i="27" s="1"/>
  <c r="Y23" i="27"/>
  <c r="Z23" i="27" s="1"/>
  <c r="Y37" i="27"/>
  <c r="Z37" i="27" s="1"/>
  <c r="Y89" i="27"/>
  <c r="Z89" i="27" s="1"/>
  <c r="Y96" i="27"/>
  <c r="Z96" i="27" s="1"/>
  <c r="Y50" i="27"/>
  <c r="Z50" i="27" s="1"/>
  <c r="Y61" i="27"/>
  <c r="Z61" i="27" s="1"/>
  <c r="Y41" i="27"/>
  <c r="Z41" i="27" s="1"/>
  <c r="Y56" i="27"/>
  <c r="Z56" i="27" s="1"/>
  <c r="Y109" i="27"/>
  <c r="Z109" i="27" s="1"/>
  <c r="Y51" i="27"/>
  <c r="Z51" i="27" s="1"/>
  <c r="Y35" i="27"/>
  <c r="Z35" i="27" s="1"/>
  <c r="Y69" i="27"/>
  <c r="Z69" i="27" s="1"/>
  <c r="Y77" i="27"/>
  <c r="Z77" i="27" s="1"/>
  <c r="Y47" i="27"/>
  <c r="Z47" i="27" s="1"/>
  <c r="Y105" i="27"/>
  <c r="Z105" i="27" s="1"/>
  <c r="Y44" i="27"/>
  <c r="Z44" i="27" s="1"/>
  <c r="Y53" i="27"/>
  <c r="Z53" i="27" s="1"/>
  <c r="Y75" i="27"/>
  <c r="Z75" i="27" s="1"/>
  <c r="Y72" i="27"/>
  <c r="Z72" i="27" s="1"/>
  <c r="Y119" i="27"/>
  <c r="Z119" i="27" s="1"/>
  <c r="Y39" i="27"/>
  <c r="Z39" i="27" s="1"/>
  <c r="Y92" i="27"/>
  <c r="Z92" i="27" s="1"/>
  <c r="Y74" i="27"/>
  <c r="Z74" i="27" s="1"/>
  <c r="Y16" i="27"/>
  <c r="Z16" i="27" s="1"/>
  <c r="Y99" i="27"/>
  <c r="Z99" i="27" s="1"/>
  <c r="Y65" i="27"/>
  <c r="Z65" i="27" s="1"/>
  <c r="Y59" i="27"/>
  <c r="Z59" i="27" s="1"/>
  <c r="Y97" i="27"/>
  <c r="Z97" i="27" s="1"/>
  <c r="Y43" i="27"/>
  <c r="Z43" i="27" s="1"/>
  <c r="Y22" i="27"/>
  <c r="Z22" i="27" s="1"/>
  <c r="Y62" i="27"/>
  <c r="Z62" i="27" s="1"/>
  <c r="Y121" i="27"/>
  <c r="Z121" i="27" s="1"/>
  <c r="Y122" i="27"/>
  <c r="Z122" i="27" s="1"/>
  <c r="Y24" i="27"/>
  <c r="Z24" i="27" s="1"/>
  <c r="Y104" i="27"/>
  <c r="Z104" i="27" s="1"/>
  <c r="Y117" i="27"/>
  <c r="Z117" i="27" s="1"/>
  <c r="Y42" i="27"/>
  <c r="Z42" i="27" s="1"/>
  <c r="Y33" i="27"/>
  <c r="Z33" i="27" s="1"/>
  <c r="Y45" i="27"/>
  <c r="Z45" i="27" s="1"/>
  <c r="Y81" i="27"/>
  <c r="Z81" i="27" s="1"/>
  <c r="Y101" i="27"/>
  <c r="Z101" i="27" s="1"/>
  <c r="Y21" i="27"/>
  <c r="Z21" i="27" s="1"/>
  <c r="Y88" i="27"/>
  <c r="Z88" i="27" s="1"/>
  <c r="Y52" i="27"/>
  <c r="Z52" i="27" s="1"/>
  <c r="Y85" i="27"/>
  <c r="Z85" i="27" s="1"/>
  <c r="Y48" i="27"/>
  <c r="Z48" i="27" s="1"/>
  <c r="Y17" i="27"/>
  <c r="Z17" i="27" s="1"/>
  <c r="Y20" i="27"/>
  <c r="Z20" i="27" s="1"/>
  <c r="Y70" i="27"/>
  <c r="Z70" i="27" s="1"/>
  <c r="Y60" i="27"/>
  <c r="Z60" i="27" s="1"/>
  <c r="Y46" i="27"/>
  <c r="Z46" i="27" s="1"/>
  <c r="Y78" i="27"/>
  <c r="Z78" i="27" s="1"/>
  <c r="Y120" i="27"/>
  <c r="Z120" i="27" s="1"/>
  <c r="Y79" i="27"/>
  <c r="Z79" i="27" s="1"/>
  <c r="Y58" i="27"/>
  <c r="Z58" i="27" s="1"/>
  <c r="Y55" i="27"/>
  <c r="Z55" i="27" s="1"/>
  <c r="Y84" i="27"/>
  <c r="Z84" i="27" s="1"/>
  <c r="Y67" i="27"/>
  <c r="Z67" i="27" s="1"/>
  <c r="Y26" i="27"/>
  <c r="Z26" i="27" s="1"/>
  <c r="Y107" i="27"/>
  <c r="Z107" i="27" s="1"/>
  <c r="Y113" i="27"/>
  <c r="Z113" i="27" s="1"/>
  <c r="Y86" i="27"/>
  <c r="Z86" i="27" s="1"/>
  <c r="Y30" i="27"/>
  <c r="Z30" i="27" s="1"/>
  <c r="Y34" i="27"/>
  <c r="Z34" i="27" s="1"/>
  <c r="Y115" i="27"/>
  <c r="Z115" i="27" s="1"/>
  <c r="Y73" i="27"/>
  <c r="Z73" i="27" s="1"/>
  <c r="Y100" i="27"/>
  <c r="Z100" i="27" s="1"/>
  <c r="Y110" i="27"/>
  <c r="Z110" i="27" s="1"/>
  <c r="Y90" i="27"/>
  <c r="Z90" i="27" s="1"/>
  <c r="Y49" i="27"/>
  <c r="Z49" i="27" s="1"/>
  <c r="Y82" i="27"/>
  <c r="Z82" i="27" s="1"/>
  <c r="Y103" i="27"/>
  <c r="Z103" i="27" s="1"/>
  <c r="Y29" i="27"/>
  <c r="Z29" i="27" s="1"/>
  <c r="Y91" i="27"/>
  <c r="Z91" i="27" s="1"/>
  <c r="Y66" i="27"/>
  <c r="Z66" i="27" s="1"/>
  <c r="U51" i="11"/>
  <c r="U35" i="11"/>
  <c r="U57" i="11"/>
  <c r="U66" i="11"/>
  <c r="U43" i="11"/>
  <c r="U42" i="11"/>
  <c r="U32" i="11"/>
  <c r="U41" i="11"/>
  <c r="U60" i="11"/>
  <c r="U34" i="11"/>
  <c r="U56" i="11"/>
  <c r="U52" i="11"/>
  <c r="U62" i="11"/>
  <c r="U58" i="11"/>
  <c r="U37" i="11"/>
  <c r="U61" i="11"/>
  <c r="U64" i="11"/>
  <c r="U33" i="11"/>
  <c r="U54" i="11"/>
  <c r="U63" i="11"/>
  <c r="U50" i="11"/>
  <c r="U53" i="11"/>
  <c r="U40" i="11"/>
  <c r="U46" i="11"/>
  <c r="U45" i="11"/>
  <c r="U44" i="11"/>
  <c r="U48" i="11"/>
  <c r="U65" i="11"/>
  <c r="U39" i="11"/>
  <c r="U59" i="11"/>
  <c r="U36" i="11"/>
  <c r="U49" i="11"/>
  <c r="U38" i="11"/>
  <c r="U55" i="11"/>
  <c r="U31" i="11"/>
  <c r="U47" i="11"/>
  <c r="C23" i="29" l="1"/>
  <c r="E23" i="29" s="1"/>
  <c r="C16" i="29"/>
  <c r="E16" i="29" s="1"/>
  <c r="C25" i="29"/>
  <c r="D25" i="29" s="1"/>
  <c r="C15" i="29"/>
  <c r="E15" i="29" s="1"/>
  <c r="C26" i="29"/>
  <c r="E26" i="29" s="1"/>
  <c r="C13" i="29"/>
  <c r="D13" i="29" s="1"/>
  <c r="C18" i="29"/>
  <c r="E18" i="29" s="1"/>
  <c r="C19" i="29"/>
  <c r="D19" i="29" s="1"/>
  <c r="C24" i="29"/>
  <c r="E24" i="29" s="1"/>
  <c r="C21" i="29"/>
  <c r="D21" i="29" s="1"/>
  <c r="C17" i="29"/>
  <c r="E17" i="29" s="1"/>
  <c r="C22" i="29"/>
  <c r="D22" i="29" s="1"/>
  <c r="C14" i="29"/>
  <c r="D14" i="29" s="1"/>
  <c r="C20" i="29"/>
  <c r="D20" i="29" s="1"/>
  <c r="C27" i="29"/>
  <c r="D27" i="29" s="1"/>
  <c r="V47" i="11"/>
  <c r="V31" i="11"/>
  <c r="V48" i="11"/>
  <c r="V40" i="11"/>
  <c r="V37" i="11"/>
  <c r="V66" i="11"/>
  <c r="V55" i="11"/>
  <c r="V59" i="11"/>
  <c r="V44" i="11"/>
  <c r="V53" i="11"/>
  <c r="V33" i="11"/>
  <c r="V58" i="11"/>
  <c r="V56" i="11"/>
  <c r="V32" i="11"/>
  <c r="V57" i="11"/>
  <c r="V36" i="11"/>
  <c r="V54" i="11"/>
  <c r="V52" i="11"/>
  <c r="V41" i="11"/>
  <c r="V38" i="11"/>
  <c r="V39" i="11"/>
  <c r="V45" i="11"/>
  <c r="V50" i="11"/>
  <c r="V64" i="11"/>
  <c r="V62" i="11"/>
  <c r="V34" i="11"/>
  <c r="V42" i="11"/>
  <c r="V35" i="11"/>
  <c r="V49" i="11"/>
  <c r="V65" i="11"/>
  <c r="V46" i="11"/>
  <c r="V63" i="11"/>
  <c r="V61" i="11"/>
  <c r="V60" i="11"/>
  <c r="V43" i="11"/>
  <c r="V51" i="11"/>
  <c r="D23" i="29" l="1"/>
  <c r="D24" i="29"/>
  <c r="F24" i="29" s="1"/>
  <c r="D26" i="29"/>
  <c r="F26" i="29" s="1"/>
  <c r="E13" i="29"/>
  <c r="F13" i="29" s="1"/>
  <c r="E21" i="29"/>
  <c r="F21" i="29" s="1"/>
  <c r="D16" i="29"/>
  <c r="F16" i="29" s="1"/>
  <c r="E19" i="29"/>
  <c r="F19" i="29" s="1"/>
  <c r="E22" i="29"/>
  <c r="F22" i="29" s="1"/>
  <c r="D15" i="29"/>
  <c r="F15" i="29" s="1"/>
  <c r="W51" i="11"/>
  <c r="E25" i="29"/>
  <c r="F25" i="29" s="1"/>
  <c r="E20" i="29"/>
  <c r="F20" i="29" s="1"/>
  <c r="D18" i="29"/>
  <c r="F18" i="29" s="1"/>
  <c r="D17" i="29"/>
  <c r="F17" i="29" s="1"/>
  <c r="E27" i="29"/>
  <c r="F27" i="29" s="1"/>
  <c r="E14" i="29"/>
  <c r="F14" i="29" s="1"/>
  <c r="F23" i="29"/>
  <c r="W63" i="11"/>
  <c r="W35" i="11"/>
  <c r="W64" i="11"/>
  <c r="W38" i="11"/>
  <c r="W36" i="11"/>
  <c r="W58" i="11"/>
  <c r="W59" i="11"/>
  <c r="W40" i="11"/>
  <c r="W43" i="11"/>
  <c r="W46" i="11"/>
  <c r="W42" i="11"/>
  <c r="W50" i="11"/>
  <c r="W41" i="11"/>
  <c r="W57" i="11"/>
  <c r="W33" i="11"/>
  <c r="W55" i="11"/>
  <c r="W48" i="11"/>
  <c r="W65" i="11"/>
  <c r="W34" i="11"/>
  <c r="W45" i="11"/>
  <c r="W52" i="11"/>
  <c r="W32" i="11"/>
  <c r="W53" i="11"/>
  <c r="W66" i="11"/>
  <c r="W31" i="11"/>
  <c r="W60" i="11"/>
  <c r="W61" i="11"/>
  <c r="W49" i="11"/>
  <c r="W62" i="11"/>
  <c r="W39" i="11"/>
  <c r="W54" i="11"/>
  <c r="W56" i="11"/>
  <c r="W44" i="11"/>
  <c r="W37" i="11"/>
  <c r="W47" i="11"/>
  <c r="X37" i="11" l="1"/>
  <c r="X51" i="11"/>
  <c r="X47" i="11"/>
  <c r="X54" i="11"/>
  <c r="X61" i="11"/>
  <c r="X53" i="11"/>
  <c r="X34" i="11"/>
  <c r="X33" i="11"/>
  <c r="X42" i="11"/>
  <c r="X59" i="11"/>
  <c r="X64" i="11"/>
  <c r="X39" i="11"/>
  <c r="X60" i="11"/>
  <c r="X32" i="11"/>
  <c r="X65" i="11"/>
  <c r="X57" i="11"/>
  <c r="X46" i="11"/>
  <c r="X58" i="11"/>
  <c r="X31" i="11"/>
  <c r="X35" i="11"/>
  <c r="X44" i="11"/>
  <c r="X52" i="11"/>
  <c r="X48" i="11"/>
  <c r="X41" i="11"/>
  <c r="X43" i="11"/>
  <c r="X36" i="11"/>
  <c r="X63" i="11"/>
  <c r="X62" i="11"/>
  <c r="X56" i="11"/>
  <c r="X49" i="11"/>
  <c r="X66" i="11"/>
  <c r="X45" i="11"/>
  <c r="X55" i="11"/>
  <c r="X50" i="11"/>
  <c r="X40" i="11"/>
  <c r="X38" i="11"/>
  <c r="Y40" i="11" l="1"/>
  <c r="Y38" i="11"/>
  <c r="Y45" i="11"/>
  <c r="Y62" i="11"/>
  <c r="Y43" i="11"/>
  <c r="Y53" i="11"/>
  <c r="Y44" i="11"/>
  <c r="Y46" i="11"/>
  <c r="Y60" i="11"/>
  <c r="Y42" i="11"/>
  <c r="Y61" i="11"/>
  <c r="Y66" i="11"/>
  <c r="Y37" i="11"/>
  <c r="Y35" i="11"/>
  <c r="Y57" i="11"/>
  <c r="Y39" i="11"/>
  <c r="Y33" i="11"/>
  <c r="Y54" i="11"/>
  <c r="Y49" i="11"/>
  <c r="Y48" i="11"/>
  <c r="Y31" i="11"/>
  <c r="Y65" i="11"/>
  <c r="Y64" i="11"/>
  <c r="Y34" i="11"/>
  <c r="Y47" i="11"/>
  <c r="Y50" i="11"/>
  <c r="Y63" i="11"/>
  <c r="Y55" i="11"/>
  <c r="Y56" i="11"/>
  <c r="Y36" i="11"/>
  <c r="Y52" i="11"/>
  <c r="Y58" i="11"/>
  <c r="Y41" i="11"/>
  <c r="Y32" i="11"/>
  <c r="Y59" i="11"/>
  <c r="Y51" i="11"/>
  <c r="I210" i="11" l="1"/>
  <c r="I209" i="11"/>
  <c r="I208" i="11"/>
  <c r="I207" i="11"/>
  <c r="I206" i="11"/>
  <c r="I205" i="11"/>
  <c r="I204" i="11"/>
  <c r="I202" i="11"/>
  <c r="I201" i="11"/>
  <c r="I200" i="11"/>
  <c r="I199" i="11"/>
  <c r="I198" i="11"/>
  <c r="I197" i="11"/>
  <c r="I196" i="11"/>
  <c r="I195" i="11"/>
  <c r="I194" i="11"/>
  <c r="I193" i="11"/>
  <c r="I192" i="11"/>
  <c r="I190" i="11"/>
  <c r="I189" i="11"/>
  <c r="I188" i="11"/>
  <c r="I187" i="11"/>
  <c r="I186" i="11"/>
  <c r="I185" i="11"/>
  <c r="I184" i="11"/>
  <c r="I183" i="11"/>
  <c r="I182" i="11"/>
  <c r="I181" i="11"/>
  <c r="I180" i="11"/>
  <c r="I178" i="11"/>
  <c r="I177" i="11"/>
  <c r="I176" i="11"/>
  <c r="I175" i="11"/>
  <c r="I174" i="11"/>
  <c r="I173" i="11"/>
  <c r="I172" i="11"/>
  <c r="I171" i="11"/>
  <c r="I170" i="11"/>
  <c r="I169" i="11"/>
  <c r="I168" i="11"/>
  <c r="I166" i="11"/>
  <c r="I165" i="11"/>
  <c r="I164" i="11"/>
  <c r="I163" i="11"/>
  <c r="I162" i="11"/>
  <c r="I160" i="11"/>
  <c r="I159" i="11"/>
  <c r="I158" i="11"/>
  <c r="I157" i="11"/>
  <c r="I156" i="11"/>
  <c r="I155" i="11"/>
  <c r="I154" i="11"/>
  <c r="I152" i="11"/>
  <c r="I151" i="11"/>
  <c r="I150" i="11"/>
  <c r="I149" i="11"/>
  <c r="I148" i="11"/>
  <c r="I147" i="11"/>
  <c r="I146" i="11"/>
  <c r="I145" i="11"/>
  <c r="I144" i="11"/>
  <c r="I142" i="11"/>
  <c r="I141" i="11"/>
  <c r="I140" i="11"/>
  <c r="I139" i="11"/>
  <c r="I138" i="11"/>
  <c r="I137" i="11"/>
  <c r="I136" i="11"/>
  <c r="I135" i="11"/>
  <c r="I134" i="11"/>
  <c r="I133" i="11"/>
  <c r="I132" i="11"/>
  <c r="I123" i="11"/>
  <c r="I122" i="11"/>
  <c r="I121" i="11"/>
  <c r="I120" i="11"/>
  <c r="I119" i="11"/>
  <c r="I118" i="11"/>
  <c r="I117" i="11"/>
  <c r="I116" i="11"/>
  <c r="I115" i="11"/>
  <c r="I114" i="11"/>
  <c r="I112" i="11"/>
  <c r="I111" i="11"/>
  <c r="I110" i="11"/>
  <c r="I109" i="11"/>
  <c r="I108" i="11"/>
  <c r="I107" i="11"/>
  <c r="I106" i="11"/>
  <c r="I105" i="11"/>
  <c r="I104" i="11"/>
  <c r="I103" i="11"/>
  <c r="I102" i="11"/>
  <c r="I100" i="11"/>
  <c r="I99" i="11"/>
  <c r="I98" i="11"/>
  <c r="I97" i="11"/>
  <c r="I96" i="11"/>
  <c r="I95" i="11"/>
  <c r="I93" i="11"/>
  <c r="I92" i="11"/>
  <c r="I91" i="11"/>
  <c r="I90" i="11"/>
  <c r="I89" i="11"/>
  <c r="I88" i="11"/>
  <c r="I87" i="11"/>
  <c r="I86" i="11"/>
  <c r="I85" i="11"/>
  <c r="I84" i="11"/>
  <c r="I83" i="11"/>
  <c r="I81" i="11"/>
  <c r="I80" i="11"/>
  <c r="I79" i="11"/>
  <c r="I78" i="11"/>
  <c r="I77" i="11"/>
  <c r="I76" i="11"/>
  <c r="I74" i="11"/>
  <c r="I73" i="11"/>
  <c r="I72" i="11"/>
  <c r="I71" i="11"/>
  <c r="I70" i="11"/>
  <c r="I69" i="11"/>
  <c r="I68"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29" i="11"/>
  <c r="I28" i="11"/>
  <c r="I27" i="11"/>
  <c r="I26" i="11"/>
  <c r="I25" i="11"/>
  <c r="I24" i="11"/>
  <c r="I23" i="11"/>
  <c r="I22" i="11"/>
  <c r="I21" i="11"/>
  <c r="I20" i="11"/>
  <c r="I19" i="11"/>
  <c r="I16" i="11"/>
  <c r="I15" i="11"/>
  <c r="H203" i="11"/>
  <c r="G203" i="11"/>
  <c r="F203" i="11"/>
  <c r="E203" i="11"/>
  <c r="D203" i="11"/>
  <c r="H179" i="11"/>
  <c r="G179" i="11"/>
  <c r="F179" i="11"/>
  <c r="E179" i="11"/>
  <c r="H191" i="11"/>
  <c r="G83" i="10" s="1"/>
  <c r="G191" i="11"/>
  <c r="F191" i="11"/>
  <c r="E83" i="10" s="1"/>
  <c r="E191" i="11"/>
  <c r="D83" i="10" s="1"/>
  <c r="D191" i="11"/>
  <c r="C83" i="10" s="1"/>
  <c r="D179" i="11"/>
  <c r="H167" i="11"/>
  <c r="G167" i="11"/>
  <c r="F167" i="11"/>
  <c r="E167" i="11"/>
  <c r="D167" i="11"/>
  <c r="H161" i="11"/>
  <c r="G161" i="11"/>
  <c r="F161" i="11"/>
  <c r="E161" i="11"/>
  <c r="D161" i="11"/>
  <c r="H153" i="11"/>
  <c r="G153" i="11"/>
  <c r="F153" i="11"/>
  <c r="E153" i="11"/>
  <c r="D153" i="11"/>
  <c r="H143" i="11"/>
  <c r="G143" i="11"/>
  <c r="F143" i="11"/>
  <c r="E143" i="11"/>
  <c r="D143" i="11"/>
  <c r="H131" i="11"/>
  <c r="G131" i="11"/>
  <c r="F131" i="11"/>
  <c r="E131" i="11"/>
  <c r="D74" i="10" s="1"/>
  <c r="D131" i="11"/>
  <c r="H113" i="11"/>
  <c r="G84" i="10" s="1"/>
  <c r="G113" i="11"/>
  <c r="F84" i="10" s="1"/>
  <c r="F113" i="11"/>
  <c r="E84" i="10" s="1"/>
  <c r="E113" i="11"/>
  <c r="D84" i="10" s="1"/>
  <c r="D113" i="11"/>
  <c r="C84" i="10" s="1"/>
  <c r="H101" i="11"/>
  <c r="G101" i="11"/>
  <c r="F101" i="11"/>
  <c r="E101" i="11"/>
  <c r="D101" i="11"/>
  <c r="H94" i="11"/>
  <c r="G94" i="11"/>
  <c r="F94" i="11"/>
  <c r="E94" i="11"/>
  <c r="D94" i="11"/>
  <c r="H82" i="11"/>
  <c r="G79" i="10" s="1"/>
  <c r="G82" i="11"/>
  <c r="F79" i="10" s="1"/>
  <c r="F82" i="11"/>
  <c r="E79" i="10" s="1"/>
  <c r="E82" i="11"/>
  <c r="D79" i="10" s="1"/>
  <c r="D82" i="11"/>
  <c r="C79" i="10" s="1"/>
  <c r="H75" i="11"/>
  <c r="G78" i="10" s="1"/>
  <c r="L27" i="5" s="1"/>
  <c r="G75" i="11"/>
  <c r="F78" i="10" s="1"/>
  <c r="K27" i="5" s="1"/>
  <c r="F75" i="11"/>
  <c r="E78" i="10" s="1"/>
  <c r="J27" i="5" s="1"/>
  <c r="E75" i="11"/>
  <c r="D78" i="10" s="1"/>
  <c r="I27" i="5" s="1"/>
  <c r="D75" i="11"/>
  <c r="C78" i="10" s="1"/>
  <c r="H27" i="5" s="1"/>
  <c r="H67" i="11"/>
  <c r="G67" i="11"/>
  <c r="F67" i="11"/>
  <c r="E67" i="11"/>
  <c r="D67" i="11"/>
  <c r="H30" i="11"/>
  <c r="G30" i="11"/>
  <c r="F77" i="10" s="1"/>
  <c r="K23" i="5" s="1"/>
  <c r="F30" i="11"/>
  <c r="E77" i="10" s="1"/>
  <c r="E30" i="11"/>
  <c r="D77" i="10" s="1"/>
  <c r="D30" i="11"/>
  <c r="C77" i="10" s="1"/>
  <c r="H18" i="11"/>
  <c r="G76" i="10" s="1"/>
  <c r="G18" i="11"/>
  <c r="F76" i="10" s="1"/>
  <c r="F18" i="11"/>
  <c r="E76" i="10" s="1"/>
  <c r="E18" i="11"/>
  <c r="D76" i="10" s="1"/>
  <c r="D18" i="11"/>
  <c r="C76" i="10" s="1"/>
  <c r="H14" i="11"/>
  <c r="G75" i="10" s="1"/>
  <c r="F75" i="10"/>
  <c r="F14" i="11"/>
  <c r="E75" i="10" s="1"/>
  <c r="E14" i="11"/>
  <c r="D75" i="10" s="1"/>
  <c r="D14" i="11"/>
  <c r="C75" i="10" s="1"/>
  <c r="D5" i="11"/>
  <c r="I179" i="11" l="1"/>
  <c r="E74" i="10"/>
  <c r="F74" i="10"/>
  <c r="E80" i="10"/>
  <c r="G77" i="10"/>
  <c r="H29" i="32" s="1"/>
  <c r="Z66" i="11"/>
  <c r="Z58" i="11"/>
  <c r="Z50" i="11"/>
  <c r="Z42" i="11"/>
  <c r="Z34" i="11"/>
  <c r="Z57" i="11"/>
  <c r="Z49" i="11"/>
  <c r="Z33" i="11"/>
  <c r="Z64" i="11"/>
  <c r="Z56" i="11"/>
  <c r="Z48" i="11"/>
  <c r="Z32" i="11"/>
  <c r="Z55" i="11"/>
  <c r="Z39" i="11"/>
  <c r="Z62" i="11"/>
  <c r="Z54" i="11"/>
  <c r="Z38" i="11"/>
  <c r="Z53" i="11"/>
  <c r="Z37" i="11"/>
  <c r="Z52" i="11"/>
  <c r="Z36" i="11"/>
  <c r="Z51" i="11"/>
  <c r="Z35" i="11"/>
  <c r="Z65" i="11"/>
  <c r="Z41" i="11"/>
  <c r="Z40" i="11"/>
  <c r="Z63" i="11"/>
  <c r="Z47" i="11"/>
  <c r="Z31" i="11"/>
  <c r="Z46" i="11"/>
  <c r="Z61" i="11"/>
  <c r="Z45" i="11"/>
  <c r="Z60" i="11"/>
  <c r="Z44" i="11"/>
  <c r="Z59" i="11"/>
  <c r="Z43" i="11"/>
  <c r="F80" i="10"/>
  <c r="J28" i="5"/>
  <c r="G13" i="33"/>
  <c r="F30" i="32"/>
  <c r="J15" i="5"/>
  <c r="F12" i="33"/>
  <c r="E28" i="32"/>
  <c r="I11" i="5"/>
  <c r="C81" i="10"/>
  <c r="F13" i="33"/>
  <c r="E30" i="32"/>
  <c r="I15" i="5"/>
  <c r="E16" i="33"/>
  <c r="H19" i="5"/>
  <c r="I16" i="33"/>
  <c r="L19" i="5"/>
  <c r="I28" i="5"/>
  <c r="C74" i="10"/>
  <c r="G74" i="10"/>
  <c r="E81" i="10"/>
  <c r="G15" i="33" s="1"/>
  <c r="D80" i="10"/>
  <c r="I191" i="11"/>
  <c r="F83" i="10"/>
  <c r="F16" i="33"/>
  <c r="I19" i="5"/>
  <c r="I153" i="11"/>
  <c r="F81" i="10"/>
  <c r="G16" i="33"/>
  <c r="J19" i="5"/>
  <c r="H13" i="33"/>
  <c r="G29" i="32"/>
  <c r="G30" i="32"/>
  <c r="K15" i="5"/>
  <c r="K28" i="5"/>
  <c r="G12" i="33"/>
  <c r="F28" i="32"/>
  <c r="J11" i="5"/>
  <c r="G81" i="10"/>
  <c r="E13" i="33"/>
  <c r="H15" i="5"/>
  <c r="I13" i="33"/>
  <c r="H30" i="32"/>
  <c r="L15" i="5"/>
  <c r="H16" i="33"/>
  <c r="K19" i="5"/>
  <c r="L28" i="5"/>
  <c r="H12" i="33"/>
  <c r="G28" i="32"/>
  <c r="K11" i="5"/>
  <c r="D81" i="10"/>
  <c r="C80" i="10"/>
  <c r="G80" i="10"/>
  <c r="H23" i="5"/>
  <c r="E29" i="32"/>
  <c r="I23" i="5"/>
  <c r="F29" i="32"/>
  <c r="J23" i="5"/>
  <c r="D124" i="11"/>
  <c r="D217" i="11" s="1"/>
  <c r="I94" i="11"/>
  <c r="D211" i="11"/>
  <c r="D216" i="11" s="1"/>
  <c r="I143" i="11"/>
  <c r="I161" i="11"/>
  <c r="I203" i="11"/>
  <c r="E211" i="11"/>
  <c r="E216" i="11" s="1"/>
  <c r="I167" i="11"/>
  <c r="I113" i="11"/>
  <c r="F211" i="11"/>
  <c r="F216" i="11" s="1"/>
  <c r="D18" i="37"/>
  <c r="H211" i="11"/>
  <c r="H216" i="11" s="1"/>
  <c r="F18" i="37"/>
  <c r="G211" i="11"/>
  <c r="G216" i="11" s="1"/>
  <c r="E18" i="37"/>
  <c r="I101" i="11"/>
  <c r="I75" i="11"/>
  <c r="I82" i="11"/>
  <c r="I67" i="11"/>
  <c r="I18" i="11"/>
  <c r="G124" i="11"/>
  <c r="G217" i="11" s="1"/>
  <c r="F124" i="11"/>
  <c r="F217" i="11" s="1"/>
  <c r="E124" i="11"/>
  <c r="E217" i="11" s="1"/>
  <c r="H124" i="11"/>
  <c r="H217" i="11" s="1"/>
  <c r="I131" i="11"/>
  <c r="I30" i="11"/>
  <c r="H10" i="11"/>
  <c r="G10" i="11" s="1"/>
  <c r="F10" i="11" s="1"/>
  <c r="E10" i="11" s="1"/>
  <c r="D10" i="11" s="1"/>
  <c r="H214" i="11"/>
  <c r="G214" i="11" s="1"/>
  <c r="H127" i="11"/>
  <c r="G127" i="11" s="1"/>
  <c r="I14" i="11"/>
  <c r="C33" i="2"/>
  <c r="D33" i="2"/>
  <c r="K12" i="5" l="1"/>
  <c r="C26" i="42"/>
  <c r="C25" i="42"/>
  <c r="C21" i="42"/>
  <c r="C24" i="42"/>
  <c r="C18" i="42"/>
  <c r="C12" i="42"/>
  <c r="C14" i="42"/>
  <c r="C23" i="42"/>
  <c r="C15" i="42"/>
  <c r="C20" i="42"/>
  <c r="C22" i="42"/>
  <c r="C19" i="42"/>
  <c r="C17" i="42"/>
  <c r="C13" i="42"/>
  <c r="C27" i="42"/>
  <c r="C16" i="42"/>
  <c r="E15" i="33"/>
  <c r="E30" i="33" s="1"/>
  <c r="L23" i="5"/>
  <c r="L24" i="5" s="1"/>
  <c r="I20" i="5"/>
  <c r="C27" i="14"/>
  <c r="C13" i="14"/>
  <c r="C25" i="14"/>
  <c r="C16" i="14"/>
  <c r="C24" i="14"/>
  <c r="C17" i="14"/>
  <c r="C23" i="14"/>
  <c r="C12" i="14"/>
  <c r="C22" i="14"/>
  <c r="C21" i="14"/>
  <c r="C20" i="14"/>
  <c r="C18" i="14"/>
  <c r="C14" i="14"/>
  <c r="C15" i="14"/>
  <c r="C26" i="14"/>
  <c r="C19" i="14"/>
  <c r="J12" i="5"/>
  <c r="J20" i="5"/>
  <c r="J16" i="5"/>
  <c r="I15" i="33"/>
  <c r="H15" i="33"/>
  <c r="H30" i="33" s="1"/>
  <c r="F15" i="33"/>
  <c r="F30" i="33" s="1"/>
  <c r="K20" i="5"/>
  <c r="K16" i="5"/>
  <c r="G218" i="11"/>
  <c r="G220" i="11" s="1"/>
  <c r="F218" i="11"/>
  <c r="F220" i="11" s="1"/>
  <c r="E12" i="33"/>
  <c r="E14" i="33" s="1"/>
  <c r="E27" i="33" s="1"/>
  <c r="D28" i="32"/>
  <c r="H11" i="5"/>
  <c r="I12" i="5" s="1"/>
  <c r="F14" i="33"/>
  <c r="F27" i="33" s="1"/>
  <c r="H29" i="33"/>
  <c r="H218" i="11"/>
  <c r="H220" i="11" s="1"/>
  <c r="H26" i="33"/>
  <c r="H14" i="33"/>
  <c r="H27" i="33" s="1"/>
  <c r="L16" i="5"/>
  <c r="G14" i="33"/>
  <c r="G27" i="33" s="1"/>
  <c r="G26" i="33"/>
  <c r="G29" i="33"/>
  <c r="F29" i="33"/>
  <c r="L20" i="5"/>
  <c r="I16" i="5"/>
  <c r="E218" i="11"/>
  <c r="D218" i="11"/>
  <c r="I12" i="33"/>
  <c r="I29" i="33" s="1"/>
  <c r="H28" i="32"/>
  <c r="L11" i="5"/>
  <c r="L12" i="5" s="1"/>
  <c r="I24" i="5"/>
  <c r="G28" i="33"/>
  <c r="G30" i="33"/>
  <c r="K24" i="5"/>
  <c r="J24" i="5"/>
  <c r="I211" i="11"/>
  <c r="I124" i="11"/>
  <c r="I10" i="11"/>
  <c r="I216" i="11"/>
  <c r="I217" i="11"/>
  <c r="I127" i="11"/>
  <c r="F127" i="11"/>
  <c r="E127" i="11" s="1"/>
  <c r="D127" i="11" s="1"/>
  <c r="I214" i="11"/>
  <c r="F214" i="11"/>
  <c r="E214" i="11" s="1"/>
  <c r="D214" i="11" s="1"/>
  <c r="G99" i="10"/>
  <c r="F99" i="10"/>
  <c r="E99" i="10"/>
  <c r="D99" i="10"/>
  <c r="C99" i="10"/>
  <c r="G107" i="10"/>
  <c r="F107" i="10"/>
  <c r="E107" i="10"/>
  <c r="D107" i="10"/>
  <c r="C107" i="10"/>
  <c r="G105" i="10"/>
  <c r="F105" i="10"/>
  <c r="E105" i="10"/>
  <c r="D105" i="10"/>
  <c r="C105" i="10"/>
  <c r="G102" i="10"/>
  <c r="F102" i="10"/>
  <c r="E102" i="10"/>
  <c r="D102" i="10"/>
  <c r="C102" i="10"/>
  <c r="C98" i="10"/>
  <c r="G98" i="10"/>
  <c r="F98" i="10"/>
  <c r="E98" i="10"/>
  <c r="D98" i="10"/>
  <c r="G142" i="10"/>
  <c r="F142" i="10"/>
  <c r="E142" i="10"/>
  <c r="D142" i="10"/>
  <c r="C142" i="10"/>
  <c r="G135" i="10"/>
  <c r="F135" i="10"/>
  <c r="E135" i="10"/>
  <c r="D135" i="10"/>
  <c r="C135" i="10"/>
  <c r="G130" i="10"/>
  <c r="F130" i="10"/>
  <c r="E130" i="10"/>
  <c r="D130" i="10"/>
  <c r="C130" i="10"/>
  <c r="G82" i="10"/>
  <c r="G101" i="10" s="1"/>
  <c r="F82" i="10"/>
  <c r="F85" i="10" s="1"/>
  <c r="G221" i="38" s="1"/>
  <c r="E82" i="10"/>
  <c r="E85" i="10" s="1"/>
  <c r="F221" i="38" s="1"/>
  <c r="D82" i="10"/>
  <c r="D85" i="10" s="1"/>
  <c r="E221" i="38" s="1"/>
  <c r="C82" i="10"/>
  <c r="C85" i="10" s="1"/>
  <c r="D221" i="38" s="1"/>
  <c r="H86" i="10"/>
  <c r="H84" i="10"/>
  <c r="H83" i="10"/>
  <c r="H81" i="10"/>
  <c r="H80" i="10"/>
  <c r="H79" i="10"/>
  <c r="H78" i="10"/>
  <c r="H77" i="10"/>
  <c r="H76" i="10"/>
  <c r="H75" i="10"/>
  <c r="H74" i="10"/>
  <c r="H62" i="10"/>
  <c r="H61" i="10"/>
  <c r="H60" i="10"/>
  <c r="H59" i="10"/>
  <c r="H58" i="10"/>
  <c r="H57" i="10"/>
  <c r="H55" i="10"/>
  <c r="H54" i="10"/>
  <c r="H53" i="10"/>
  <c r="H52" i="10"/>
  <c r="H51" i="10"/>
  <c r="H46" i="10"/>
  <c r="H43" i="10"/>
  <c r="H42" i="10"/>
  <c r="H41" i="10"/>
  <c r="H40" i="10"/>
  <c r="H33" i="10"/>
  <c r="H32" i="10"/>
  <c r="H31" i="10"/>
  <c r="H30" i="10"/>
  <c r="H29" i="10"/>
  <c r="H28" i="10"/>
  <c r="H25" i="10"/>
  <c r="H24" i="10"/>
  <c r="H23" i="10"/>
  <c r="H22" i="10"/>
  <c r="H21" i="10"/>
  <c r="H20" i="10"/>
  <c r="H19" i="10"/>
  <c r="H17" i="10"/>
  <c r="F16" i="10"/>
  <c r="Q51" i="5" s="1"/>
  <c r="H18" i="10"/>
  <c r="G56" i="10"/>
  <c r="F56" i="10"/>
  <c r="E56" i="10"/>
  <c r="D56" i="10"/>
  <c r="C56" i="10"/>
  <c r="G50" i="10"/>
  <c r="U53" i="5" s="1"/>
  <c r="F50" i="10"/>
  <c r="R53" i="5" s="1"/>
  <c r="E50" i="10"/>
  <c r="D50" i="10"/>
  <c r="C50" i="10"/>
  <c r="G27" i="10"/>
  <c r="F27" i="10"/>
  <c r="E27" i="10"/>
  <c r="D27" i="10"/>
  <c r="C27" i="10"/>
  <c r="G16" i="10"/>
  <c r="T51" i="5" s="1"/>
  <c r="E16" i="10"/>
  <c r="D16" i="10"/>
  <c r="C16" i="10"/>
  <c r="F28" i="33" l="1"/>
  <c r="G27" i="42"/>
  <c r="F27" i="42"/>
  <c r="I27" i="42"/>
  <c r="E27" i="42"/>
  <c r="H27" i="42"/>
  <c r="D27" i="42"/>
  <c r="H14" i="42"/>
  <c r="F14" i="42"/>
  <c r="D14" i="42"/>
  <c r="E14" i="42"/>
  <c r="G14" i="42"/>
  <c r="H13" i="42"/>
  <c r="D13" i="42"/>
  <c r="E13" i="42"/>
  <c r="G13" i="42"/>
  <c r="F13" i="42"/>
  <c r="F12" i="42"/>
  <c r="D12" i="42"/>
  <c r="H12" i="42"/>
  <c r="G12" i="42"/>
  <c r="E12" i="42"/>
  <c r="H17" i="42"/>
  <c r="G17" i="42"/>
  <c r="E17" i="42"/>
  <c r="D17" i="42"/>
  <c r="F17" i="42"/>
  <c r="D18" i="42"/>
  <c r="E18" i="42"/>
  <c r="H18" i="42"/>
  <c r="F18" i="42"/>
  <c r="G18" i="42"/>
  <c r="G19" i="42"/>
  <c r="D19" i="42"/>
  <c r="E19" i="42"/>
  <c r="H19" i="42"/>
  <c r="F19" i="42"/>
  <c r="D24" i="42"/>
  <c r="G24" i="42"/>
  <c r="H24" i="42"/>
  <c r="E24" i="42"/>
  <c r="F24" i="42"/>
  <c r="H22" i="42"/>
  <c r="F22" i="42"/>
  <c r="D22" i="42"/>
  <c r="G22" i="42"/>
  <c r="E22" i="42"/>
  <c r="H21" i="42"/>
  <c r="E21" i="42"/>
  <c r="G21" i="42"/>
  <c r="F21" i="42"/>
  <c r="D21" i="42"/>
  <c r="F20" i="42"/>
  <c r="H20" i="42"/>
  <c r="G20" i="42"/>
  <c r="D20" i="42"/>
  <c r="E20" i="42"/>
  <c r="E25" i="42"/>
  <c r="H25" i="42"/>
  <c r="F25" i="42"/>
  <c r="G25" i="42"/>
  <c r="D25" i="42"/>
  <c r="G15" i="42"/>
  <c r="E15" i="42"/>
  <c r="H15" i="42"/>
  <c r="F15" i="42"/>
  <c r="D15" i="42"/>
  <c r="F26" i="42"/>
  <c r="E26" i="42"/>
  <c r="D26" i="42"/>
  <c r="G26" i="42"/>
  <c r="H26" i="42"/>
  <c r="D16" i="42"/>
  <c r="F16" i="42"/>
  <c r="G16" i="42"/>
  <c r="H16" i="42"/>
  <c r="E16" i="42"/>
  <c r="G23" i="42"/>
  <c r="D23" i="42"/>
  <c r="E23" i="42"/>
  <c r="H23" i="42"/>
  <c r="F23" i="42"/>
  <c r="D35" i="10"/>
  <c r="E35" i="10"/>
  <c r="F23" i="32" s="1"/>
  <c r="I28" i="33"/>
  <c r="I30" i="33"/>
  <c r="H19" i="14"/>
  <c r="F19" i="14"/>
  <c r="G19" i="14"/>
  <c r="E19" i="14"/>
  <c r="D19" i="14"/>
  <c r="H12" i="14"/>
  <c r="E12" i="14"/>
  <c r="F12" i="14"/>
  <c r="D12" i="14"/>
  <c r="G12" i="14"/>
  <c r="H26" i="14"/>
  <c r="D26" i="14"/>
  <c r="F26" i="14"/>
  <c r="E26" i="14"/>
  <c r="G26" i="14"/>
  <c r="F23" i="14"/>
  <c r="H23" i="14"/>
  <c r="E23" i="14"/>
  <c r="G23" i="14"/>
  <c r="D23" i="14"/>
  <c r="D221" i="11"/>
  <c r="D220" i="11"/>
  <c r="H15" i="14"/>
  <c r="F15" i="14"/>
  <c r="E15" i="14"/>
  <c r="G15" i="14"/>
  <c r="D15" i="14"/>
  <c r="D17" i="14"/>
  <c r="F17" i="14"/>
  <c r="H17" i="14"/>
  <c r="E17" i="14"/>
  <c r="G17" i="14"/>
  <c r="E221" i="11"/>
  <c r="E220" i="11"/>
  <c r="G14" i="14"/>
  <c r="E14" i="14"/>
  <c r="F14" i="14"/>
  <c r="H14" i="14"/>
  <c r="D14" i="14"/>
  <c r="G24" i="14"/>
  <c r="D24" i="14"/>
  <c r="H24" i="14"/>
  <c r="E24" i="14"/>
  <c r="F24" i="14"/>
  <c r="D18" i="14"/>
  <c r="F18" i="14"/>
  <c r="G18" i="14"/>
  <c r="E18" i="14"/>
  <c r="H18" i="14"/>
  <c r="F16" i="14"/>
  <c r="D16" i="14"/>
  <c r="E16" i="14"/>
  <c r="G16" i="14"/>
  <c r="H16" i="14"/>
  <c r="G20" i="14"/>
  <c r="E20" i="14"/>
  <c r="F20" i="14"/>
  <c r="D20" i="14"/>
  <c r="H20" i="14"/>
  <c r="G25" i="14"/>
  <c r="D25" i="14"/>
  <c r="H25" i="14"/>
  <c r="E25" i="14"/>
  <c r="F25" i="14"/>
  <c r="E28" i="33"/>
  <c r="G21" i="14"/>
  <c r="D21" i="14"/>
  <c r="F21" i="14"/>
  <c r="H21" i="14"/>
  <c r="E21" i="14"/>
  <c r="H13" i="14"/>
  <c r="F13" i="14"/>
  <c r="G13" i="14"/>
  <c r="D13" i="14"/>
  <c r="E13" i="14"/>
  <c r="E22" i="14"/>
  <c r="H22" i="14"/>
  <c r="G22" i="14"/>
  <c r="F22" i="14"/>
  <c r="D22" i="14"/>
  <c r="D27" i="14"/>
  <c r="H27" i="14"/>
  <c r="E27" i="14"/>
  <c r="F27" i="14"/>
  <c r="I27" i="14"/>
  <c r="G27" i="14"/>
  <c r="H28" i="33"/>
  <c r="F221" i="11"/>
  <c r="G221" i="11"/>
  <c r="E29" i="33"/>
  <c r="F26" i="33"/>
  <c r="I14" i="33"/>
  <c r="I27" i="33" s="1"/>
  <c r="I26" i="33"/>
  <c r="H102" i="10"/>
  <c r="H99" i="10"/>
  <c r="D22" i="37"/>
  <c r="F31" i="32"/>
  <c r="F14" i="32"/>
  <c r="F13" i="32"/>
  <c r="G31" i="33" s="1"/>
  <c r="G15" i="32"/>
  <c r="R52" i="5"/>
  <c r="E87" i="10"/>
  <c r="F222" i="38" s="1"/>
  <c r="F100" i="10"/>
  <c r="G38" i="32"/>
  <c r="E18" i="33"/>
  <c r="E35" i="33" s="1"/>
  <c r="H35" i="5"/>
  <c r="I18" i="33"/>
  <c r="I35" i="33" s="1"/>
  <c r="L35" i="5"/>
  <c r="G14" i="32"/>
  <c r="G13" i="32"/>
  <c r="H31" i="33" s="1"/>
  <c r="Q50" i="5"/>
  <c r="D15" i="32"/>
  <c r="H15" i="32"/>
  <c r="U52" i="5"/>
  <c r="F87" i="10"/>
  <c r="G222" i="38" s="1"/>
  <c r="G100" i="10"/>
  <c r="H38" i="32"/>
  <c r="F18" i="33"/>
  <c r="F35" i="33" s="1"/>
  <c r="I35" i="5"/>
  <c r="D13" i="32"/>
  <c r="E31" i="33" s="1"/>
  <c r="D14" i="32"/>
  <c r="H14" i="32"/>
  <c r="H13" i="32"/>
  <c r="I31" i="33" s="1"/>
  <c r="T50" i="5"/>
  <c r="T55" i="5" s="1"/>
  <c r="T59" i="5" s="1"/>
  <c r="E15" i="32"/>
  <c r="C87" i="10"/>
  <c r="D222" i="38" s="1"/>
  <c r="G103" i="10"/>
  <c r="G104" i="10" s="1"/>
  <c r="H46" i="32"/>
  <c r="H21" i="32"/>
  <c r="F144" i="10"/>
  <c r="E38" i="32"/>
  <c r="C100" i="10"/>
  <c r="D38" i="32"/>
  <c r="G18" i="33"/>
  <c r="G35" i="33" s="1"/>
  <c r="J35" i="5"/>
  <c r="E94" i="10"/>
  <c r="D94" i="10"/>
  <c r="F20" i="33"/>
  <c r="E23" i="32"/>
  <c r="E31" i="32"/>
  <c r="E14" i="32"/>
  <c r="E13" i="32"/>
  <c r="F31" i="33" s="1"/>
  <c r="F15" i="32"/>
  <c r="D87" i="10"/>
  <c r="E222" i="38" s="1"/>
  <c r="F38" i="32"/>
  <c r="H18" i="33"/>
  <c r="H35" i="33" s="1"/>
  <c r="K35" i="5"/>
  <c r="I218" i="11"/>
  <c r="H107" i="10"/>
  <c r="C144" i="10"/>
  <c r="C147" i="10" s="1"/>
  <c r="C148" i="10" s="1"/>
  <c r="H105" i="10"/>
  <c r="E100" i="10"/>
  <c r="H98" i="10"/>
  <c r="D100" i="10"/>
  <c r="H82" i="10"/>
  <c r="D101" i="10"/>
  <c r="G144" i="10"/>
  <c r="C101" i="10"/>
  <c r="E101" i="10"/>
  <c r="F101" i="10"/>
  <c r="D144" i="10"/>
  <c r="E144" i="10"/>
  <c r="G85" i="10"/>
  <c r="F63" i="10"/>
  <c r="G22" i="32" s="1"/>
  <c r="C63" i="10"/>
  <c r="D63" i="10"/>
  <c r="E22" i="32" s="1"/>
  <c r="C35" i="10"/>
  <c r="F35" i="10"/>
  <c r="E63" i="10"/>
  <c r="H27" i="10"/>
  <c r="G63" i="10"/>
  <c r="H56" i="10"/>
  <c r="H50" i="10"/>
  <c r="G35" i="10"/>
  <c r="H16" i="10"/>
  <c r="G20" i="33" l="1"/>
  <c r="G28" i="42"/>
  <c r="E28" i="42"/>
  <c r="D28" i="42"/>
  <c r="I36" i="5"/>
  <c r="H28" i="42"/>
  <c r="I14" i="42" s="1"/>
  <c r="H221" i="38"/>
  <c r="P221" i="38"/>
  <c r="F28" i="42"/>
  <c r="H28" i="14"/>
  <c r="I21" i="14" s="1"/>
  <c r="E28" i="14"/>
  <c r="G28" i="14"/>
  <c r="D28" i="14"/>
  <c r="F28" i="14"/>
  <c r="D146" i="10"/>
  <c r="D147" i="10" s="1"/>
  <c r="D148" i="10" s="1"/>
  <c r="H22" i="32"/>
  <c r="E222" i="11"/>
  <c r="D44" i="10"/>
  <c r="D39" i="10" s="1"/>
  <c r="D48" i="10" s="1"/>
  <c r="E43" i="32" s="1"/>
  <c r="D222" i="11"/>
  <c r="C44" i="10"/>
  <c r="C39" i="10" s="1"/>
  <c r="C48" i="10" s="1"/>
  <c r="D44" i="32" s="1"/>
  <c r="F222" i="11"/>
  <c r="E44" i="10"/>
  <c r="E39" i="10" s="1"/>
  <c r="E48" i="10" s="1"/>
  <c r="F18" i="32" s="1"/>
  <c r="G32" i="33" s="1"/>
  <c r="I220" i="11"/>
  <c r="H221" i="11"/>
  <c r="G222" i="11"/>
  <c r="F44" i="10"/>
  <c r="F88" i="10" s="1"/>
  <c r="K36" i="5"/>
  <c r="G106" i="10"/>
  <c r="G108" i="10" s="1"/>
  <c r="G109" i="10" s="1"/>
  <c r="E21" i="33"/>
  <c r="D20" i="32"/>
  <c r="H101" i="10"/>
  <c r="G46" i="32"/>
  <c r="G21" i="32"/>
  <c r="T60" i="5"/>
  <c r="D26" i="37"/>
  <c r="G21" i="33"/>
  <c r="F20" i="32"/>
  <c r="F21" i="33"/>
  <c r="E20" i="32"/>
  <c r="F22" i="32"/>
  <c r="D103" i="10"/>
  <c r="D106" i="10" s="1"/>
  <c r="D108" i="10" s="1"/>
  <c r="E21" i="32"/>
  <c r="E46" i="32"/>
  <c r="D18" i="32"/>
  <c r="E32" i="33" s="1"/>
  <c r="D47" i="32"/>
  <c r="D34" i="32"/>
  <c r="D42" i="32"/>
  <c r="G94" i="10"/>
  <c r="F22" i="37"/>
  <c r="I20" i="33"/>
  <c r="H23" i="32"/>
  <c r="H31" i="32"/>
  <c r="F26" i="37"/>
  <c r="I21" i="33"/>
  <c r="H20" i="32"/>
  <c r="F94" i="10"/>
  <c r="E22" i="37"/>
  <c r="H20" i="33"/>
  <c r="G23" i="32"/>
  <c r="G31" i="32"/>
  <c r="E103" i="10"/>
  <c r="F46" i="32"/>
  <c r="F21" i="32"/>
  <c r="D88" i="10"/>
  <c r="E37" i="32"/>
  <c r="E44" i="32"/>
  <c r="E47" i="32"/>
  <c r="E42" i="32"/>
  <c r="E34" i="32"/>
  <c r="D220" i="27"/>
  <c r="E14" i="37"/>
  <c r="J16" i="37" s="1"/>
  <c r="G34" i="32"/>
  <c r="G37" i="32"/>
  <c r="G47" i="32"/>
  <c r="G42" i="32"/>
  <c r="F220" i="27"/>
  <c r="E88" i="10"/>
  <c r="D14" i="37"/>
  <c r="I16" i="37" s="1"/>
  <c r="F47" i="32"/>
  <c r="F42" i="32"/>
  <c r="F34" i="32"/>
  <c r="F37" i="32"/>
  <c r="E220" i="27"/>
  <c r="C94" i="10"/>
  <c r="E20" i="33"/>
  <c r="D23" i="32"/>
  <c r="D31" i="32"/>
  <c r="E26" i="37"/>
  <c r="H21" i="33"/>
  <c r="G20" i="32"/>
  <c r="C103" i="10"/>
  <c r="C106" i="10" s="1"/>
  <c r="C108" i="10" s="1"/>
  <c r="D21" i="32"/>
  <c r="D46" i="32"/>
  <c r="J36" i="5"/>
  <c r="I17" i="33"/>
  <c r="I34" i="33" s="1"/>
  <c r="H39" i="32"/>
  <c r="H35" i="32"/>
  <c r="L31" i="5"/>
  <c r="D22" i="32"/>
  <c r="Q55" i="5"/>
  <c r="Q60" i="5" s="1"/>
  <c r="L36" i="5"/>
  <c r="D30" i="37"/>
  <c r="I32" i="37" s="1"/>
  <c r="I20" i="37"/>
  <c r="C95" i="10"/>
  <c r="G95" i="10"/>
  <c r="F95" i="10"/>
  <c r="E65" i="10"/>
  <c r="E66" i="10" s="1"/>
  <c r="E95" i="10"/>
  <c r="D65" i="10"/>
  <c r="D66" i="10" s="1"/>
  <c r="D95" i="10"/>
  <c r="F103" i="10"/>
  <c r="G87" i="10"/>
  <c r="H85" i="10"/>
  <c r="I221" i="38" s="1"/>
  <c r="H35" i="10"/>
  <c r="H63" i="10"/>
  <c r="E18" i="32" l="1"/>
  <c r="F32" i="33" s="1"/>
  <c r="I26" i="42"/>
  <c r="I26" i="14"/>
  <c r="I23" i="42"/>
  <c r="I19" i="42"/>
  <c r="I16" i="42"/>
  <c r="I15" i="42"/>
  <c r="I28" i="42"/>
  <c r="I18" i="42"/>
  <c r="I17" i="42"/>
  <c r="I22" i="42"/>
  <c r="I12" i="42"/>
  <c r="I25" i="42"/>
  <c r="I24" i="42"/>
  <c r="I20" i="42"/>
  <c r="I13" i="42"/>
  <c r="H222" i="38"/>
  <c r="P222" i="38"/>
  <c r="I21" i="42"/>
  <c r="I25" i="14"/>
  <c r="H94" i="10"/>
  <c r="I24" i="14"/>
  <c r="I22" i="14"/>
  <c r="I23" i="14"/>
  <c r="I19" i="14"/>
  <c r="I15" i="14"/>
  <c r="I20" i="14"/>
  <c r="I18" i="14"/>
  <c r="I13" i="14"/>
  <c r="I17" i="14"/>
  <c r="I16" i="14"/>
  <c r="I14" i="14"/>
  <c r="I28" i="14"/>
  <c r="I12" i="14"/>
  <c r="F44" i="32"/>
  <c r="E146" i="10"/>
  <c r="E147" i="10" s="1"/>
  <c r="F146" i="10" s="1"/>
  <c r="F147" i="10" s="1"/>
  <c r="F148" i="10" s="1"/>
  <c r="Q59" i="5"/>
  <c r="E45" i="32"/>
  <c r="D96" i="10"/>
  <c r="F22" i="33"/>
  <c r="E19" i="32"/>
  <c r="F33" i="33" s="1"/>
  <c r="E25" i="32"/>
  <c r="E36" i="32"/>
  <c r="E24" i="32"/>
  <c r="F43" i="32"/>
  <c r="C96" i="10"/>
  <c r="D24" i="32"/>
  <c r="D36" i="32"/>
  <c r="E22" i="33"/>
  <c r="D25" i="32"/>
  <c r="D45" i="32"/>
  <c r="C65" i="10"/>
  <c r="C66" i="10" s="1"/>
  <c r="D43" i="32"/>
  <c r="C88" i="10"/>
  <c r="D19" i="32"/>
  <c r="E33" i="33" s="1"/>
  <c r="E96" i="10"/>
  <c r="F24" i="32"/>
  <c r="G22" i="33"/>
  <c r="F19" i="32"/>
  <c r="G33" i="33" s="1"/>
  <c r="F36" i="32"/>
  <c r="F25" i="32"/>
  <c r="F45" i="32"/>
  <c r="H222" i="11"/>
  <c r="G44" i="10"/>
  <c r="H44" i="10" s="1"/>
  <c r="F39" i="10"/>
  <c r="L39" i="5"/>
  <c r="N18" i="37"/>
  <c r="I19" i="33"/>
  <c r="H17" i="33"/>
  <c r="H34" i="33" s="1"/>
  <c r="G39" i="32"/>
  <c r="G35" i="32"/>
  <c r="K31" i="5"/>
  <c r="I28" i="37"/>
  <c r="N30" i="37" s="1"/>
  <c r="C109" i="10"/>
  <c r="E19" i="33"/>
  <c r="H39" i="5"/>
  <c r="E30" i="37"/>
  <c r="J32" i="37" s="1"/>
  <c r="J20" i="37"/>
  <c r="O18" i="37" s="1"/>
  <c r="E104" i="10"/>
  <c r="G17" i="33"/>
  <c r="G34" i="33" s="1"/>
  <c r="F35" i="32"/>
  <c r="F39" i="32"/>
  <c r="J31" i="5"/>
  <c r="F30" i="37"/>
  <c r="K32" i="37" s="1"/>
  <c r="K20" i="37"/>
  <c r="F14" i="37"/>
  <c r="K16" i="37" s="1"/>
  <c r="H34" i="32"/>
  <c r="H42" i="32"/>
  <c r="H37" i="32"/>
  <c r="H47" i="32"/>
  <c r="G220" i="27"/>
  <c r="D109" i="10"/>
  <c r="F19" i="33"/>
  <c r="I39" i="5"/>
  <c r="D104" i="10"/>
  <c r="F17" i="33"/>
  <c r="F34" i="33" s="1"/>
  <c r="E39" i="32"/>
  <c r="E35" i="32"/>
  <c r="I31" i="5"/>
  <c r="E106" i="10"/>
  <c r="E108" i="10" s="1"/>
  <c r="C104" i="10"/>
  <c r="E17" i="33"/>
  <c r="E34" i="33" s="1"/>
  <c r="D39" i="32"/>
  <c r="D35" i="32"/>
  <c r="H31" i="5"/>
  <c r="H95" i="10"/>
  <c r="H103" i="10"/>
  <c r="F104" i="10"/>
  <c r="H87" i="10"/>
  <c r="I222" i="38" s="1"/>
  <c r="F106" i="10"/>
  <c r="H106" i="10" s="1"/>
  <c r="G146" i="10"/>
  <c r="G147" i="10" s="1"/>
  <c r="G148" i="10" s="1"/>
  <c r="E148" i="10" l="1"/>
  <c r="S23" i="37"/>
  <c r="J28" i="37"/>
  <c r="O30" i="37" s="1"/>
  <c r="T23" i="37" s="1"/>
  <c r="G88" i="10"/>
  <c r="G39" i="10"/>
  <c r="F48" i="10"/>
  <c r="I36" i="33"/>
  <c r="P18" i="37"/>
  <c r="K32" i="5"/>
  <c r="E37" i="33"/>
  <c r="E36" i="33"/>
  <c r="E109" i="10"/>
  <c r="G19" i="33"/>
  <c r="J39" i="5"/>
  <c r="J40" i="5" s="1"/>
  <c r="I40" i="5"/>
  <c r="J32" i="5"/>
  <c r="K28" i="37"/>
  <c r="P30" i="37" s="1"/>
  <c r="I32" i="5"/>
  <c r="F37" i="33"/>
  <c r="F36" i="33"/>
  <c r="L32" i="5"/>
  <c r="F108" i="10"/>
  <c r="G48" i="10" l="1"/>
  <c r="G96" i="10" s="1"/>
  <c r="U23" i="37"/>
  <c r="H39" i="10"/>
  <c r="G45" i="32"/>
  <c r="G24" i="32"/>
  <c r="F96" i="10"/>
  <c r="G25" i="32"/>
  <c r="H22" i="33"/>
  <c r="R54" i="5"/>
  <c r="G36" i="32"/>
  <c r="G43" i="32"/>
  <c r="F65" i="10"/>
  <c r="G44" i="32"/>
  <c r="G18" i="32"/>
  <c r="H32" i="33" s="1"/>
  <c r="G19" i="32"/>
  <c r="H33" i="33" s="1"/>
  <c r="H108" i="10"/>
  <c r="H19" i="33"/>
  <c r="K39" i="5"/>
  <c r="G37" i="33"/>
  <c r="G36" i="33"/>
  <c r="F109" i="10"/>
  <c r="H48" i="10" l="1"/>
  <c r="H36" i="32"/>
  <c r="U54" i="5"/>
  <c r="U55" i="5" s="1"/>
  <c r="U63" i="5" s="1"/>
  <c r="H44" i="32"/>
  <c r="H43" i="32"/>
  <c r="H24" i="32"/>
  <c r="H45" i="32"/>
  <c r="H18" i="32"/>
  <c r="I32" i="33" s="1"/>
  <c r="H19" i="32"/>
  <c r="I33" i="33" s="1"/>
  <c r="I22" i="33"/>
  <c r="I37" i="33" s="1"/>
  <c r="G65" i="10"/>
  <c r="G66" i="10" s="1"/>
  <c r="H25" i="32"/>
  <c r="H96" i="10"/>
  <c r="F66" i="10"/>
  <c r="R55" i="5"/>
  <c r="R63" i="5" s="1"/>
  <c r="K40" i="5"/>
  <c r="L40" i="5"/>
  <c r="H37" i="33"/>
  <c r="H36" i="33"/>
  <c r="G116" i="10"/>
  <c r="F116" i="10" s="1"/>
  <c r="H65" i="10" l="1"/>
  <c r="U61" i="5"/>
  <c r="U62" i="5"/>
  <c r="R62" i="5"/>
  <c r="R61" i="5"/>
  <c r="E116" i="10"/>
  <c r="D116" i="10" s="1"/>
  <c r="C116" i="10" s="1"/>
  <c r="G72" i="10"/>
  <c r="F72" i="10" s="1"/>
  <c r="G12" i="10"/>
  <c r="C5" i="10"/>
  <c r="L18" i="5" l="1"/>
  <c r="L38" i="5"/>
  <c r="L34" i="5"/>
  <c r="L22" i="5"/>
  <c r="L30" i="5"/>
  <c r="L14" i="5"/>
  <c r="T48" i="5"/>
  <c r="T57" i="5" s="1"/>
  <c r="L26" i="5"/>
  <c r="L10" i="5"/>
  <c r="F12" i="10"/>
  <c r="E72" i="10"/>
  <c r="D72" i="10" s="1"/>
  <c r="C72" i="10" s="1"/>
  <c r="H72" i="10"/>
  <c r="G52" i="9"/>
  <c r="F52" i="9" s="1"/>
  <c r="E52" i="9" s="1"/>
  <c r="D52" i="9" s="1"/>
  <c r="C52" i="9" s="1"/>
  <c r="I71" i="9"/>
  <c r="I62" i="9"/>
  <c r="C37" i="9"/>
  <c r="G28" i="9"/>
  <c r="F28" i="9"/>
  <c r="E28" i="9"/>
  <c r="D28" i="9"/>
  <c r="C28" i="9"/>
  <c r="J26" i="9"/>
  <c r="J20" i="9"/>
  <c r="J18" i="9"/>
  <c r="J16" i="9"/>
  <c r="J14" i="9"/>
  <c r="C5" i="9"/>
  <c r="C5" i="8"/>
  <c r="C5" i="6"/>
  <c r="K38" i="5" l="1"/>
  <c r="K30" i="5"/>
  <c r="K14" i="5"/>
  <c r="K26" i="5"/>
  <c r="K10" i="5"/>
  <c r="K18" i="5"/>
  <c r="Q48" i="5"/>
  <c r="Q57" i="5" s="1"/>
  <c r="K34" i="5"/>
  <c r="K22" i="5"/>
  <c r="E12" i="10"/>
  <c r="D12" i="10" s="1"/>
  <c r="H12" i="10"/>
  <c r="G5" i="2"/>
  <c r="D23" i="4"/>
  <c r="E23" i="4" s="1"/>
  <c r="E27" i="4"/>
  <c r="E26" i="4"/>
  <c r="C5" i="4"/>
  <c r="C5" i="3"/>
  <c r="I34" i="5" l="1"/>
  <c r="I22" i="5"/>
  <c r="I18" i="5"/>
  <c r="I26" i="5"/>
  <c r="I10" i="5"/>
  <c r="I38" i="5"/>
  <c r="I30" i="5"/>
  <c r="I14" i="5"/>
  <c r="J26" i="5"/>
  <c r="J10" i="5"/>
  <c r="J38" i="5"/>
  <c r="J30" i="5"/>
  <c r="J14" i="5"/>
  <c r="J34" i="5"/>
  <c r="J22" i="5"/>
  <c r="J18" i="5"/>
  <c r="C12" i="10"/>
  <c r="H18" i="5" l="1"/>
  <c r="H34" i="5"/>
  <c r="H22" i="5"/>
  <c r="H38" i="5"/>
  <c r="H26" i="5"/>
  <c r="H10" i="5"/>
  <c r="H30" i="5"/>
  <c r="H1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tc={834B2A26-3A14-D741-95D0-9EDCE7772721}</author>
    <author>tc={1146EE56-AB29-DB48-8C04-D3BDCBFF624D}</author>
    <author>tc={6F964DCE-99FB-D146-B525-47C68DFE09B3}</author>
  </authors>
  <commentList>
    <comment ref="C32" authorId="0" shapeId="0" xr:uid="{00000000-0006-0000-1E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AGUA E ELETRICIDADE SEM MOVIMENTOS??? CERTEZA ISTO???</t>
        </r>
      </text>
    </comment>
    <comment ref="C51" authorId="1" shapeId="0" xr:uid="{00000000-0006-0000-1E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PORQUE CERTOS MESES SEM MOVIMENTOS????</t>
        </r>
      </text>
    </comment>
    <comment ref="C115" authorId="2" shapeId="0" xr:uid="{00000000-0006-0000-1E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MESES EM BRANCO?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tc={6B838809-7BFA-AA44-A57E-0E16FBCD7643}</author>
  </authors>
  <commentList>
    <comment ref="D66" authorId="0" shapeId="0" xr:uid="{00000000-0006-0000-1F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MONICA. BALANCO TEM QUE SALDAR FILHA</t>
        </r>
      </text>
    </comment>
  </commentList>
</comments>
</file>

<file path=xl/sharedStrings.xml><?xml version="1.0" encoding="utf-8"?>
<sst xmlns="http://schemas.openxmlformats.org/spreadsheetml/2006/main" count="1464" uniqueCount="736">
  <si>
    <t>ESTRUTURA SOCIETÁRIA</t>
  </si>
  <si>
    <t>IDENTIFICAÇÃO DA EMPRESA</t>
  </si>
  <si>
    <t>Sede Social:</t>
  </si>
  <si>
    <t>DADOS GERAIS</t>
  </si>
  <si>
    <t>Nome da Empresa:</t>
  </si>
  <si>
    <t>NUIT:</t>
  </si>
  <si>
    <t>MISSÃO, VALORES, OBJECTIVOS</t>
  </si>
  <si>
    <t>MODELO DE GOVERNO / MEMBROS DOS ÓRGÃOS SOCIAIS</t>
  </si>
  <si>
    <t>INFORMAÇÃO FINANCEIRA - HISTÓRICA E ACTUAL</t>
  </si>
  <si>
    <t>email geral:</t>
  </si>
  <si>
    <t>Telefone Geral:</t>
  </si>
  <si>
    <t>DADOS DA CONSTITUIÇÃO DA EMPRESA</t>
  </si>
  <si>
    <t>Localidade:</t>
  </si>
  <si>
    <t>Data da Constituição da Empresa:</t>
  </si>
  <si>
    <t>Capital Social Actual:</t>
  </si>
  <si>
    <t>OBJECTO SOCIAL:</t>
  </si>
  <si>
    <t>Legislação Aplicável:</t>
  </si>
  <si>
    <t>Boletim da República n.º:</t>
  </si>
  <si>
    <t>SECTOR DE ACTIVIDADE</t>
  </si>
  <si>
    <t>moeda</t>
  </si>
  <si>
    <r>
      <rPr>
        <b/>
        <i/>
        <sz val="11"/>
        <color theme="0"/>
        <rFont val="Calibri"/>
        <family val="2"/>
        <scheme val="minor"/>
      </rPr>
      <t>website</t>
    </r>
    <r>
      <rPr>
        <b/>
        <sz val="11"/>
        <color theme="0"/>
        <rFont val="Calibri"/>
        <family val="2"/>
        <scheme val="minor"/>
      </rPr>
      <t>:</t>
    </r>
  </si>
  <si>
    <t>Telef. / Telem. de Pessoa de Contacto: *</t>
  </si>
  <si>
    <t>email de Pessoa de Contacto: *</t>
  </si>
  <si>
    <t>* responsável pelo preenchimento</t>
  </si>
  <si>
    <t>montante</t>
  </si>
  <si>
    <t>logotipo da empresa</t>
  </si>
  <si>
    <t>MISSÃO</t>
  </si>
  <si>
    <t>VISÃO</t>
  </si>
  <si>
    <t>VALORES</t>
  </si>
  <si>
    <t>BACK TO INDEX</t>
  </si>
  <si>
    <t>ACCIONISTA</t>
  </si>
  <si>
    <t>% DO CAPITAL SOCIAL</t>
  </si>
  <si>
    <t>Nacional</t>
  </si>
  <si>
    <t>Estrangeiro</t>
  </si>
  <si>
    <t>NACIONAL / ESTRANGEIRO</t>
  </si>
  <si>
    <t>% DE ACCIONISTAS NACIONAIS:</t>
  </si>
  <si>
    <t>% DE ACCIONISTAS ESTRANGEIROS:</t>
  </si>
  <si>
    <t>EXERCÍCIO DE REPORTE:</t>
  </si>
  <si>
    <t>ÓRGÃOS SOCIAIS</t>
  </si>
  <si>
    <t>NOME</t>
  </si>
  <si>
    <t>CARGO</t>
  </si>
  <si>
    <t>MANDATO</t>
  </si>
  <si>
    <t>TELEFONE</t>
  </si>
  <si>
    <t>E-MAIL</t>
  </si>
  <si>
    <t>CONSELHO DE ADMINISTRAÇÃO</t>
  </si>
  <si>
    <t>MESA DA ASSEMBEIA GERAL</t>
  </si>
  <si>
    <t>CONSELHO FISCAL</t>
  </si>
  <si>
    <t>Organismo do Estado que exerce a função de Tutela:</t>
  </si>
  <si>
    <t>se aplicável</t>
  </si>
  <si>
    <t>INFORMAÇÃO ESTATÍSTICA E QUALITATIVA</t>
  </si>
  <si>
    <t>ORGANIGRAMA</t>
  </si>
  <si>
    <t>Assembleia Geral</t>
  </si>
  <si>
    <t>Moeda</t>
  </si>
  <si>
    <t>Custo Médio</t>
  </si>
  <si>
    <t>N.º Homens</t>
  </si>
  <si>
    <t>Número Total</t>
  </si>
  <si>
    <t>N.º Mulheres</t>
  </si>
  <si>
    <t>Administradores Executivos</t>
  </si>
  <si>
    <t>Administradores Não Executivos</t>
  </si>
  <si>
    <t>Conselho Fiscal</t>
  </si>
  <si>
    <t>Nacionais</t>
  </si>
  <si>
    <t>Estrang.</t>
  </si>
  <si>
    <t>TRABALHADORES</t>
  </si>
  <si>
    <t>TOTAIS</t>
  </si>
  <si>
    <t>Total Salários       Pagos</t>
  </si>
  <si>
    <t>MESTRES</t>
  </si>
  <si>
    <t>LICENCIADOS</t>
  </si>
  <si>
    <t>NÍVEL TÉCNICO</t>
  </si>
  <si>
    <t>NÍVEL MÉDIO</t>
  </si>
  <si>
    <t>NÍVEL SECUNDÁRIO</t>
  </si>
  <si>
    <t>OUTRO</t>
  </si>
  <si>
    <t>N.º MÉDIO DE TRABALHADORES</t>
  </si>
  <si>
    <t>CLIENTES</t>
  </si>
  <si>
    <t>N.º DE CLIENTES COM FACTURAÇÃO</t>
  </si>
  <si>
    <t>FACTURAÇÃO DO MAIOR CLIENTE</t>
  </si>
  <si>
    <t>PESO DO MAIOR CLIENTE</t>
  </si>
  <si>
    <t>FORNECEDORES</t>
  </si>
  <si>
    <t>FACTURAÇÃO TOTAL DE FORNEC.</t>
  </si>
  <si>
    <t>FACTURAÇÃO TOTAL A CLIENTES</t>
  </si>
  <si>
    <t>N.º DE FORNEC. COM FACTURAÇÃO</t>
  </si>
  <si>
    <t>FACTURAÇÃO DO MAIOR FORNECEDOR</t>
  </si>
  <si>
    <t>PESO DO MAIOR FORNECEDOR</t>
  </si>
  <si>
    <t>BALANÇO</t>
  </si>
  <si>
    <t>Activos nao correntes</t>
  </si>
  <si>
    <t>Goodwill</t>
  </si>
  <si>
    <t>Activos biologicos</t>
  </si>
  <si>
    <t>Investimentos em associadas</t>
  </si>
  <si>
    <t>Outros activos financeiros</t>
  </si>
  <si>
    <t>Activos por impostos diferidos</t>
  </si>
  <si>
    <t>Activos nao correntes detidos para venda</t>
  </si>
  <si>
    <t>Activos correntes</t>
  </si>
  <si>
    <t>Clientes</t>
  </si>
  <si>
    <t>Outros activos correntes</t>
  </si>
  <si>
    <t>Total dos Activos</t>
  </si>
  <si>
    <t>Capital social</t>
  </si>
  <si>
    <t>Reservas</t>
  </si>
  <si>
    <t>Resultados transitados</t>
  </si>
  <si>
    <t>Interesses minoritarios</t>
  </si>
  <si>
    <t>Passivos nao correntes</t>
  </si>
  <si>
    <t>Emprestimos obtidos</t>
  </si>
  <si>
    <t>Outros passivos financeiros</t>
  </si>
  <si>
    <t>Passivos por impostos diferidos</t>
  </si>
  <si>
    <t>Passivos correntes</t>
  </si>
  <si>
    <t>Fornecedores</t>
  </si>
  <si>
    <t>Impostos a pagar</t>
  </si>
  <si>
    <t>Outras contas a pagar</t>
  </si>
  <si>
    <t>Total dos Passivos</t>
  </si>
  <si>
    <t>ACTIVOS</t>
  </si>
  <si>
    <t>CAPITAL PRÓPRIO E PASSIVOS</t>
  </si>
  <si>
    <t>Inventários</t>
  </si>
  <si>
    <t>Activos biológicos</t>
  </si>
  <si>
    <t>Activos intangíveis</t>
  </si>
  <si>
    <t>Activos tangíveis</t>
  </si>
  <si>
    <t>Activos tangíveis de investimento</t>
  </si>
  <si>
    <t>Caixa e equivalentes de caixa</t>
  </si>
  <si>
    <t>Provisões</t>
  </si>
  <si>
    <t>Empréstimos obtidos</t>
  </si>
  <si>
    <t>Resultado líquido do exercício</t>
  </si>
  <si>
    <t>Capital próprio</t>
  </si>
  <si>
    <t>Total do Capital Próprio</t>
  </si>
  <si>
    <t>Total do Capital Próprio e dos Passivos</t>
  </si>
  <si>
    <t>check</t>
  </si>
  <si>
    <t>DEMONSTRAÇÃO DE RESULTADOS</t>
  </si>
  <si>
    <t>Vendas de Bens e Serviços</t>
  </si>
  <si>
    <t>Custo dos Inventários Vendidos ou Consumidos</t>
  </si>
  <si>
    <t>Gastos com Pessoal</t>
  </si>
  <si>
    <t>Fornecimentos e Serviços de Terceiros</t>
  </si>
  <si>
    <t>Depreciações e Amortizações</t>
  </si>
  <si>
    <t>Provisões do período</t>
  </si>
  <si>
    <t>Imparidades de contas a receber</t>
  </si>
  <si>
    <t>Outros Ganhos e Perdas Operacionais</t>
  </si>
  <si>
    <t>Resultado Operacional</t>
  </si>
  <si>
    <t>Rendimentos Financeiros</t>
  </si>
  <si>
    <t>Gastos Financeiros</t>
  </si>
  <si>
    <t>Resultado antes do imposto</t>
  </si>
  <si>
    <t>Impostos sobre o rendimento</t>
  </si>
  <si>
    <t>Resultado Líquido do Exercício</t>
  </si>
  <si>
    <t>SÍNTESE</t>
  </si>
  <si>
    <t>DEMONSTRAÇÃO DOS FLUXOS DE CAIXA</t>
  </si>
  <si>
    <t>FLUXO DE CAIXA DAS ACTIVIDADES OPERACIONAIS</t>
  </si>
  <si>
    <t>Ajustamentos ao resultado relativo a:</t>
  </si>
  <si>
    <t>Juros e similares (líquido)</t>
  </si>
  <si>
    <t>Mais ou menos valias na venda de activos tangíveis</t>
  </si>
  <si>
    <t>Aumento de Inventários</t>
  </si>
  <si>
    <t>Aumento de Clientes e Outros Activos Financeiros</t>
  </si>
  <si>
    <t>Redução de outros activos correntes e não correntes</t>
  </si>
  <si>
    <t>(Redução)/aumento de Fornecedores e Out.Pass.Financeiros</t>
  </si>
  <si>
    <t>(Redução)/aumento de Outros passivos corr. e não correntes</t>
  </si>
  <si>
    <t>Fluxo Líquido das Actividades Operacionais</t>
  </si>
  <si>
    <t>FLUXO DE CAIXA DAS ACTIVIDADES DE INVESTIMENTO</t>
  </si>
  <si>
    <t>Aquisição de activos tangíveis e intangíveis</t>
  </si>
  <si>
    <t>Juros e rendimentos similares</t>
  </si>
  <si>
    <t>Fluxo Líquido das Actividades de Investimento</t>
  </si>
  <si>
    <t>FLUXO DE CAIXA DAS ACTIVIDADES DE FINANCIAMENTO</t>
  </si>
  <si>
    <t>Reembolso de Empréstimos</t>
  </si>
  <si>
    <t>Dividendos pagos</t>
  </si>
  <si>
    <t>Venda de acções próprias</t>
  </si>
  <si>
    <t>Juros e gastos similares</t>
  </si>
  <si>
    <t>Fluxo Líquido das Actividades de Financiamento</t>
  </si>
  <si>
    <t>Variação de Caixa e Equivalentes de Caixa</t>
  </si>
  <si>
    <t>Caixa e equivalentes de caixa no início do exercício</t>
  </si>
  <si>
    <t>Caixa e equivalentes de caixa no fim do exercício</t>
  </si>
  <si>
    <t>Resultados Financeiros</t>
  </si>
  <si>
    <t>Resultados Antes do Imposto</t>
  </si>
  <si>
    <t>Imposto sobre o rendimento</t>
  </si>
  <si>
    <t>Resultados Líquidos</t>
  </si>
  <si>
    <t>Margem Bruta</t>
  </si>
  <si>
    <t>EBITDA</t>
  </si>
  <si>
    <t>EBIT</t>
  </si>
  <si>
    <t>Margem Operacional</t>
  </si>
  <si>
    <t>Margem Líquida</t>
  </si>
  <si>
    <t>Total do ACTIVO</t>
  </si>
  <si>
    <t>Total do PASSIVO</t>
  </si>
  <si>
    <t>Total do CAPITAL PRÓPRIO</t>
  </si>
  <si>
    <t>N.º de Acções:</t>
  </si>
  <si>
    <t>Valor Unitário da Acção:</t>
  </si>
  <si>
    <t>DETALHE DOS GANHOS E GASTOS</t>
  </si>
  <si>
    <t>6.1</t>
  </si>
  <si>
    <t>CUSTOS DOS INVENTÁRIOS</t>
  </si>
  <si>
    <t>6.1.1</t>
  </si>
  <si>
    <t>Custo dos inventários vendidos ou consumidos</t>
  </si>
  <si>
    <t>6.1.2</t>
  </si>
  <si>
    <t>Variação da produção</t>
  </si>
  <si>
    <t>6.2</t>
  </si>
  <si>
    <t>GASTOS COM PESSOAL</t>
  </si>
  <si>
    <t>6.2.1</t>
  </si>
  <si>
    <t>Remunerações dos Órgãos Sociais</t>
  </si>
  <si>
    <t>6.2.2</t>
  </si>
  <si>
    <t>Remunerações dos trabalhadores</t>
  </si>
  <si>
    <t>6.2.3</t>
  </si>
  <si>
    <t>Encargos sobre remuneracoes</t>
  </si>
  <si>
    <t>6.2.4</t>
  </si>
  <si>
    <t>Benefícios Pós-Emprego</t>
  </si>
  <si>
    <t>6.2.5</t>
  </si>
  <si>
    <t>Ajudas de Custo</t>
  </si>
  <si>
    <t>6.2.6</t>
  </si>
  <si>
    <t>Indemnizacoes</t>
  </si>
  <si>
    <t>6.2.7</t>
  </si>
  <si>
    <t>Seguros Ac. Trabalho e Doenças Profissionais</t>
  </si>
  <si>
    <t>6.2.8</t>
  </si>
  <si>
    <t>Gastos de Acção Social</t>
  </si>
  <si>
    <t>6.2.9</t>
  </si>
  <si>
    <t>Outros Gastos com Pessoal</t>
  </si>
  <si>
    <t>6.3</t>
  </si>
  <si>
    <t>FORNEC. E SERVICOS DE TERCEIROS</t>
  </si>
  <si>
    <t>6.3.1</t>
  </si>
  <si>
    <t>Subcontratos</t>
  </si>
  <si>
    <t>6.3.2.1.1</t>
  </si>
  <si>
    <t>Água</t>
  </si>
  <si>
    <t>6.3.2.1.2</t>
  </si>
  <si>
    <t>Electricidade</t>
  </si>
  <si>
    <t>6.3.2.1.3</t>
  </si>
  <si>
    <t xml:space="preserve">Combustíveis </t>
  </si>
  <si>
    <t>6.3.2.1.4</t>
  </si>
  <si>
    <t>6.3.2.1.5</t>
  </si>
  <si>
    <t>Material de Manutenção e Reparação</t>
  </si>
  <si>
    <t>6.3.2.1.6</t>
  </si>
  <si>
    <t>Material de Escritório</t>
  </si>
  <si>
    <t>6.3.2.1.7</t>
  </si>
  <si>
    <t>6.3.2.1.8</t>
  </si>
  <si>
    <t>Artigos para oferta</t>
  </si>
  <si>
    <t>6.3.2.1.9</t>
  </si>
  <si>
    <t>6.3.2.2.1</t>
  </si>
  <si>
    <t>6.3.2.2.2</t>
  </si>
  <si>
    <t>Transportes de carga</t>
  </si>
  <si>
    <t>6.3.2.2.3</t>
  </si>
  <si>
    <t>Transportes de pessoal</t>
  </si>
  <si>
    <t>6.3.2.2.4</t>
  </si>
  <si>
    <t>Comunicações</t>
  </si>
  <si>
    <t>6.3.2.2.5</t>
  </si>
  <si>
    <t>Honorários</t>
  </si>
  <si>
    <t>6.3.2.2.6</t>
  </si>
  <si>
    <t>Comissões a intermediários</t>
  </si>
  <si>
    <t>6.3.2.2.7</t>
  </si>
  <si>
    <t>Publicidade e propaganda</t>
  </si>
  <si>
    <t>6.3.2.2.8</t>
  </si>
  <si>
    <t>Deslocações e estadias</t>
  </si>
  <si>
    <t>6.3.2.2.9</t>
  </si>
  <si>
    <t>Despesas de representação</t>
  </si>
  <si>
    <t>6.3.2.3.1</t>
  </si>
  <si>
    <t>Contencioso e notariado</t>
  </si>
  <si>
    <t>6.3.2.3.2</t>
  </si>
  <si>
    <t>Rendas e alugueres</t>
  </si>
  <si>
    <t>6.3.2.3.3</t>
  </si>
  <si>
    <t>Seguros</t>
  </si>
  <si>
    <t>6.3.2.3.4</t>
  </si>
  <si>
    <t>Royalties</t>
  </si>
  <si>
    <t>6.3.2.3.5</t>
  </si>
  <si>
    <t>Limpeza, higiene e conforto</t>
  </si>
  <si>
    <t>6.3.2.3.6</t>
  </si>
  <si>
    <t>Vigilância e segurança</t>
  </si>
  <si>
    <t>6.3.2.3.7</t>
  </si>
  <si>
    <t>Trabalhos especializados</t>
  </si>
  <si>
    <t>6.3.2.3.8</t>
  </si>
  <si>
    <t>6.3.2.3.9</t>
  </si>
  <si>
    <t>6.3.2.9.9</t>
  </si>
  <si>
    <t>Outros fornecimentos e serviços</t>
  </si>
  <si>
    <t>6.4</t>
  </si>
  <si>
    <t>AJUSTAMENTOS DO PERÍODO</t>
  </si>
  <si>
    <t>6.4.1</t>
  </si>
  <si>
    <t>Ajustamentos de inventários para o valor realizável líquido</t>
  </si>
  <si>
    <t>6.4.2</t>
  </si>
  <si>
    <t>Investimentos financeiros</t>
  </si>
  <si>
    <t>6.4.3</t>
  </si>
  <si>
    <t>6.4.4</t>
  </si>
  <si>
    <t>Contas a receber</t>
  </si>
  <si>
    <t>6.5</t>
  </si>
  <si>
    <t>6.5.1</t>
  </si>
  <si>
    <t>6.5.2</t>
  </si>
  <si>
    <t>6.5.3</t>
  </si>
  <si>
    <t>6.6</t>
  </si>
  <si>
    <t>PROVISÕES DO PERÍODO</t>
  </si>
  <si>
    <t>6.6.1</t>
  </si>
  <si>
    <t>Processos judiciais em curso</t>
  </si>
  <si>
    <t>6.6.2</t>
  </si>
  <si>
    <t>Acidentes no trabalho e doenças profissionais</t>
  </si>
  <si>
    <t>6.6.3</t>
  </si>
  <si>
    <t>Impostos</t>
  </si>
  <si>
    <t>6.6.4</t>
  </si>
  <si>
    <t>Reestruturacao de negócios</t>
  </si>
  <si>
    <t>6.6.5</t>
  </si>
  <si>
    <t>Contractos onerosos</t>
  </si>
  <si>
    <t>6.6.6</t>
  </si>
  <si>
    <t>Garantias a clientes</t>
  </si>
  <si>
    <t>6.6.7</t>
  </si>
  <si>
    <t>Perdas em contratos de construção</t>
  </si>
  <si>
    <t>6.9.8</t>
  </si>
  <si>
    <t>6.6.9</t>
  </si>
  <si>
    <t>Outras provisões</t>
  </si>
  <si>
    <t>6.7</t>
  </si>
  <si>
    <t>PERDAS POR REDUCAO DO JUSTO VALOR</t>
  </si>
  <si>
    <t>6.7.1</t>
  </si>
  <si>
    <t>Instrumentos financeiros</t>
  </si>
  <si>
    <t>6.7.2</t>
  </si>
  <si>
    <t>6.7.3</t>
  </si>
  <si>
    <t>6.8</t>
  </si>
  <si>
    <t>OUTROS GASTOS E PERDAS OPERACIONAIS</t>
  </si>
  <si>
    <t>6.8.1</t>
  </si>
  <si>
    <t>Despesas de investigação e pesquisa</t>
  </si>
  <si>
    <t>6.8.2</t>
  </si>
  <si>
    <t>Impostos e taxas</t>
  </si>
  <si>
    <t>6.8.3</t>
  </si>
  <si>
    <t>Perdas em investimento de capital</t>
  </si>
  <si>
    <t>6.8.4</t>
  </si>
  <si>
    <t>Perdas em inventários e activos biológicos</t>
  </si>
  <si>
    <t>6.8.5</t>
  </si>
  <si>
    <t>6.8.6</t>
  </si>
  <si>
    <t>6.8.7</t>
  </si>
  <si>
    <t>6.8.8</t>
  </si>
  <si>
    <t>6.8.9</t>
  </si>
  <si>
    <t>Outros gastos operacionais</t>
  </si>
  <si>
    <t>6.9</t>
  </si>
  <si>
    <t>GASTOS E PERDAS FINANCEIRAS</t>
  </si>
  <si>
    <t>6.9.1</t>
  </si>
  <si>
    <t>Juros suportados</t>
  </si>
  <si>
    <t>6.9.2</t>
  </si>
  <si>
    <t>6.9.3</t>
  </si>
  <si>
    <t>6.9.4</t>
  </si>
  <si>
    <t>Diferenças de Câmbio desfavoráveis</t>
  </si>
  <si>
    <t>6.9.5</t>
  </si>
  <si>
    <t>Descontos de pronto pagamento concedidos</t>
  </si>
  <si>
    <t>6.9.6</t>
  </si>
  <si>
    <t>6.9.7</t>
  </si>
  <si>
    <t>Outros gastos e perdas financeiras</t>
  </si>
  <si>
    <t>7.1</t>
  </si>
  <si>
    <t>VENDAS</t>
  </si>
  <si>
    <t>7.1.1</t>
  </si>
  <si>
    <t>Mercadorias</t>
  </si>
  <si>
    <t>7.1.2</t>
  </si>
  <si>
    <t>Produtos acabados e intermédios</t>
  </si>
  <si>
    <t>7.1.3</t>
  </si>
  <si>
    <t>Subprodutos, desperdícios, resíduos e refugos</t>
  </si>
  <si>
    <t>7.1.4</t>
  </si>
  <si>
    <t>7.1.5</t>
  </si>
  <si>
    <t>IVA das vendas com imposto incluído</t>
  </si>
  <si>
    <t>7.1.6</t>
  </si>
  <si>
    <t>Devolução de vendas</t>
  </si>
  <si>
    <t>7.1.7</t>
  </si>
  <si>
    <t>Descontos e abatimentos</t>
  </si>
  <si>
    <t>7.1.8</t>
  </si>
  <si>
    <t>7.1.9</t>
  </si>
  <si>
    <t>7.2</t>
  </si>
  <si>
    <t>PRESTAÇÃO DE SERVIÇOS</t>
  </si>
  <si>
    <t>7.2.1</t>
  </si>
  <si>
    <t>IVA da prestação de serviços com imposto incluído</t>
  </si>
  <si>
    <t>7.2.2</t>
  </si>
  <si>
    <t>7.2.3</t>
  </si>
  <si>
    <t>7.2.4</t>
  </si>
  <si>
    <t>7.2.5</t>
  </si>
  <si>
    <t>7.2.6</t>
  </si>
  <si>
    <t>7.3</t>
  </si>
  <si>
    <t>INVESTIMENTOS REALIZADOS PELA PROPRIA EMPRESA</t>
  </si>
  <si>
    <t>7.3.1</t>
  </si>
  <si>
    <t>7.3.2</t>
  </si>
  <si>
    <t>Activos tangÍveis</t>
  </si>
  <si>
    <t>7.3.3</t>
  </si>
  <si>
    <t>Activos intangÍveis</t>
  </si>
  <si>
    <t>7.3.4</t>
  </si>
  <si>
    <t>7.4</t>
  </si>
  <si>
    <t>REVERSÕES DO PERÍODO</t>
  </si>
  <si>
    <t>7.4.1</t>
  </si>
  <si>
    <t>De ajustamentos</t>
  </si>
  <si>
    <t>7.4.2</t>
  </si>
  <si>
    <t>De amortizações</t>
  </si>
  <si>
    <t>7.4.3</t>
  </si>
  <si>
    <t>De provisões</t>
  </si>
  <si>
    <t>7.5</t>
  </si>
  <si>
    <t>RENDIMENTOS SUPLEMENTARES</t>
  </si>
  <si>
    <t>7.5.1</t>
  </si>
  <si>
    <t>Serviços Sociais</t>
  </si>
  <si>
    <t>7.5.2</t>
  </si>
  <si>
    <t>Aluguer de equipamento</t>
  </si>
  <si>
    <t>7.5.3</t>
  </si>
  <si>
    <t>Venda de energia</t>
  </si>
  <si>
    <t>7.5.4</t>
  </si>
  <si>
    <t>Estudos, projectos, pesquisas e investigacoes</t>
  </si>
  <si>
    <t>7.5.5</t>
  </si>
  <si>
    <t>Assistencia tecnica</t>
  </si>
  <si>
    <t>7.5.6</t>
  </si>
  <si>
    <t>7.5.7</t>
  </si>
  <si>
    <t>7.5.8</t>
  </si>
  <si>
    <t>7.5.9</t>
  </si>
  <si>
    <t>Outros rendimentos suplementares</t>
  </si>
  <si>
    <t>7.6</t>
  </si>
  <si>
    <t>OUTROS RENDIMENTOS E GANHOS OPERACIONAIS</t>
  </si>
  <si>
    <t>7.6.1</t>
  </si>
  <si>
    <t>Subsídios para investimentos</t>
  </si>
  <si>
    <t>7.6.2</t>
  </si>
  <si>
    <t>Subsídios à exploração</t>
  </si>
  <si>
    <t>7.6.3</t>
  </si>
  <si>
    <t>Ganhos em investimentos de capital</t>
  </si>
  <si>
    <t>7.6.4</t>
  </si>
  <si>
    <t>Ganhos em inventários e activos biológicos</t>
  </si>
  <si>
    <t>7.6.5</t>
  </si>
  <si>
    <t>7.6.6</t>
  </si>
  <si>
    <t>7.6.7</t>
  </si>
  <si>
    <t>7.6.8</t>
  </si>
  <si>
    <t>7.6.9</t>
  </si>
  <si>
    <t>Outros rendimentos alheios ao valor acrescentado</t>
  </si>
  <si>
    <t>7.8</t>
  </si>
  <si>
    <t>RENDIMENTOS E GANHOS FINANCEIROS</t>
  </si>
  <si>
    <t>7.8.1</t>
  </si>
  <si>
    <t>Juros obtidos</t>
  </si>
  <si>
    <t>7.8.2</t>
  </si>
  <si>
    <t>Rendimentos de activos tangíveis de investimento</t>
  </si>
  <si>
    <t>7.8.3</t>
  </si>
  <si>
    <t>Rendimentos de investimentos financeiros</t>
  </si>
  <si>
    <t>7.8.4</t>
  </si>
  <si>
    <t>Diferencas de câmbio favoráveis</t>
  </si>
  <si>
    <t>7.8.5</t>
  </si>
  <si>
    <t>Descontos de pronto pagamento obtidos</t>
  </si>
  <si>
    <t>7.8.6</t>
  </si>
  <si>
    <t>7.8.7</t>
  </si>
  <si>
    <t>7.8.8</t>
  </si>
  <si>
    <t>7.8.9</t>
  </si>
  <si>
    <t>Outros rendimentos e ganhos financeiros</t>
  </si>
  <si>
    <t>7.9</t>
  </si>
  <si>
    <t>GANHOS POR AUMENTO DO JUSTO VALOR</t>
  </si>
  <si>
    <t>7.9.1</t>
  </si>
  <si>
    <t>7.9.2</t>
  </si>
  <si>
    <t>Activos tangiveis de investimento</t>
  </si>
  <si>
    <t>7.9.3</t>
  </si>
  <si>
    <t>DETALHE DOS GASTOS</t>
  </si>
  <si>
    <t>DETALHE DOS GANHOS</t>
  </si>
  <si>
    <t>TOTAL DOS GASTOS</t>
  </si>
  <si>
    <t>TOTAL DOS GANHOS</t>
  </si>
  <si>
    <t>GANHOS</t>
  </si>
  <si>
    <t>GASTOS</t>
  </si>
  <si>
    <t>RESULTADO LÍQUIDO</t>
  </si>
  <si>
    <t>AMORTIZAÇÕES DO PERÍODO</t>
  </si>
  <si>
    <t>% de Crescimento</t>
  </si>
  <si>
    <t>Resultados Operacionais</t>
  </si>
  <si>
    <t>Unidade:</t>
  </si>
  <si>
    <t>MOEDA:</t>
  </si>
  <si>
    <t>DETALHE DE GANHOS E GASTOS</t>
  </si>
  <si>
    <t>GRÁFICOS DAS PRINCIPAIS RUBRICAS DEM. RESULTADOS</t>
  </si>
  <si>
    <t>GRÁFICOS DAS PRINCIPAIS RUBRICAS DA DEMONSTRAÇÃO DE RESULTADOS</t>
  </si>
  <si>
    <t>DETALHE DOS FORNECIMENTOS E SERVIÇOS DE TERCEIROS</t>
  </si>
  <si>
    <t>DETALHE DOS PRINCIPAIS FORNECIMENTOS E SERVIÇOS DE TERCEIROS</t>
  </si>
  <si>
    <t>max1</t>
  </si>
  <si>
    <t>max2</t>
  </si>
  <si>
    <t>max3</t>
  </si>
  <si>
    <t>max4</t>
  </si>
  <si>
    <t>max5</t>
  </si>
  <si>
    <t>max6</t>
  </si>
  <si>
    <t>max7</t>
  </si>
  <si>
    <t>max8</t>
  </si>
  <si>
    <t>max9</t>
  </si>
  <si>
    <t>max10</t>
  </si>
  <si>
    <t>max11</t>
  </si>
  <si>
    <t>max12</t>
  </si>
  <si>
    <t>Livros e documentação técnica</t>
  </si>
  <si>
    <t>Manutenção e reparação</t>
  </si>
  <si>
    <t>Ferramentas e utensílios de desgaste rápido</t>
  </si>
  <si>
    <t>max13</t>
  </si>
  <si>
    <t>max14</t>
  </si>
  <si>
    <t>max15</t>
  </si>
  <si>
    <t>Outros</t>
  </si>
  <si>
    <t>TOTAL:</t>
  </si>
  <si>
    <t>ESTRUTURA DE BALANÇO</t>
  </si>
  <si>
    <t>Ativo</t>
  </si>
  <si>
    <t>Passivo + CP</t>
  </si>
  <si>
    <t>Ativo Corrente</t>
  </si>
  <si>
    <t>Ativo Não Corrente</t>
  </si>
  <si>
    <t>Passivo Corrente</t>
  </si>
  <si>
    <t>Passivo Não Corrente</t>
  </si>
  <si>
    <t>Capital Próprio</t>
  </si>
  <si>
    <t>EMPRÉSTIMOS BANCÁRIOS E OUTROS</t>
  </si>
  <si>
    <t>Outros passivos não correntes</t>
  </si>
  <si>
    <t>Outras componentes do capital próprio</t>
  </si>
  <si>
    <t>Empréstimos Curto Prazo</t>
  </si>
  <si>
    <t>Empréstimos Médio / Longo Prazo</t>
  </si>
  <si>
    <t>Nome do Credor</t>
  </si>
  <si>
    <t>DETALHE DOS EMPRÉSTIMOS / ENDIVIDAMENTO</t>
  </si>
  <si>
    <t>Montante Contratado</t>
  </si>
  <si>
    <t>Data de Contratação</t>
  </si>
  <si>
    <t>Maturidade</t>
  </si>
  <si>
    <t>Taxa de Juro</t>
  </si>
  <si>
    <t>Periocidade da Prestação</t>
  </si>
  <si>
    <t>Saldo Actual do Empréstimo</t>
  </si>
  <si>
    <t>Montante em Mora (se existente)</t>
  </si>
  <si>
    <t>Observações</t>
  </si>
  <si>
    <t>Prestações em Mora (se existente)</t>
  </si>
  <si>
    <r>
      <t xml:space="preserve">Domiciliação </t>
    </r>
    <r>
      <rPr>
        <sz val="11"/>
        <color theme="1"/>
        <rFont val="Calibri"/>
        <family val="2"/>
        <scheme val="minor"/>
      </rPr>
      <t>(nac./estr.)</t>
    </r>
  </si>
  <si>
    <t>ENDIVIDAMENTO</t>
  </si>
  <si>
    <t>DETALHE DOS EMPRÉSTIMOS</t>
  </si>
  <si>
    <t>NOME DA EMPRESA:</t>
  </si>
  <si>
    <t>PARTICIPAÇÕES FINANCEIRAS</t>
  </si>
  <si>
    <t>Objecto Social</t>
  </si>
  <si>
    <t>Classificação</t>
  </si>
  <si>
    <t>Capital Social</t>
  </si>
  <si>
    <t>% de Participação</t>
  </si>
  <si>
    <t>% de Capital Ajustado</t>
  </si>
  <si>
    <t>Dividendos Distribuídos à Empresa</t>
  </si>
  <si>
    <t>Total de Dividendos a Distribuir a Accionistas</t>
  </si>
  <si>
    <t>Resultado Líquido</t>
  </si>
  <si>
    <t>V.P.F.P.</t>
  </si>
  <si>
    <t>V.P.F.P. - Valor da Participação pelo modelo dos Fundos Próprios</t>
  </si>
  <si>
    <t>Nome da Empresa
Participada</t>
  </si>
  <si>
    <t>REGISTO DAS ASSEMBLEIAS GERAIS</t>
  </si>
  <si>
    <t>ORDINÁRIAS</t>
  </si>
  <si>
    <t>EXTRAORDINÁRIAS</t>
  </si>
  <si>
    <t>DATA</t>
  </si>
  <si>
    <t>PONTOS DA AGENDA</t>
  </si>
  <si>
    <t>ASSEMBLEIAS GERAIS</t>
  </si>
  <si>
    <t>DELIBERAÇÃO</t>
  </si>
  <si>
    <t>RELATÓRIO DO AUDITOR INDEPENDENTE</t>
  </si>
  <si>
    <t>ANO</t>
  </si>
  <si>
    <t>RESERVAS E ÊNFASES</t>
  </si>
  <si>
    <t>NOME DO AUDITOR:</t>
  </si>
  <si>
    <t>PONTO DE SITUAÇÃO / OBSERVAÇÕES</t>
  </si>
  <si>
    <t>INFORMAÇÃO EXTRAÍDA DO RELATÓRIO DE GESTÃO</t>
  </si>
  <si>
    <t>FACTOS RELEVANTES OCORRIDOS NO EXERCÍCIO</t>
  </si>
  <si>
    <t>PRESPECTIVAS FUTURAS</t>
  </si>
  <si>
    <t>RELATÓRIO DO CONSELHO FISCAL</t>
  </si>
  <si>
    <t>RELATÓRIO DO CONSELHO FISCAL (ou Órgão Fiscalizador)</t>
  </si>
  <si>
    <t>ASSUNTO</t>
  </si>
  <si>
    <t>ELEMENTOS DO CONS. FISCAL:</t>
  </si>
  <si>
    <t>PRINCIPAIS MEDIDAS DO PLANO ESTRATÉGICO EM VIGOR</t>
  </si>
  <si>
    <t>TEM PLANO ESTRATÉGICO FORMAL?</t>
  </si>
  <si>
    <t>PONTO</t>
  </si>
  <si>
    <t>DESCRIÇÃO DA MEDIDA / ESTRATÉGIA / OBJECTIVO</t>
  </si>
  <si>
    <t>PERÍODO DO PLANO:</t>
  </si>
  <si>
    <t>a</t>
  </si>
  <si>
    <t>PLANO ESTRATÉGICO</t>
  </si>
  <si>
    <t>ORÇAMENTO PARA O ANO DE:</t>
  </si>
  <si>
    <t>ORÇAMENTO</t>
  </si>
  <si>
    <t>Real</t>
  </si>
  <si>
    <t>Estimativa</t>
  </si>
  <si>
    <t>PLANO ORÇAMENTAL</t>
  </si>
  <si>
    <t>DOCUMENTOS DE MONITORIA</t>
  </si>
  <si>
    <t>INSTRUMENTOS DE PLANIFICAÇÃO</t>
  </si>
  <si>
    <t>DOCUMENTOS PARA MONITORIA DO PLANO ESTRATÉGICO</t>
  </si>
  <si>
    <t>DOCUMENTOS PARA MONITORIA DO PLANO DE NEGÓCIOS</t>
  </si>
  <si>
    <t>DOCUMENTOS PARA MONITORIA DO PLANO DE ACTIVIDADES</t>
  </si>
  <si>
    <t>A.</t>
  </si>
  <si>
    <t>B.</t>
  </si>
  <si>
    <t>C.</t>
  </si>
  <si>
    <t>D.</t>
  </si>
  <si>
    <t>E.</t>
  </si>
  <si>
    <t>F.</t>
  </si>
  <si>
    <t>G.</t>
  </si>
  <si>
    <t>H.</t>
  </si>
  <si>
    <t>I.</t>
  </si>
  <si>
    <t>J.</t>
  </si>
  <si>
    <t>K.</t>
  </si>
  <si>
    <t>L.</t>
  </si>
  <si>
    <t>M.</t>
  </si>
  <si>
    <t>N.</t>
  </si>
  <si>
    <t>O.</t>
  </si>
  <si>
    <t>P.</t>
  </si>
  <si>
    <t>Plano de Actividades</t>
  </si>
  <si>
    <t xml:space="preserve">Carta Conforto do Auditor </t>
  </si>
  <si>
    <t>Plano Estratégico</t>
  </si>
  <si>
    <t>Plano de Negócios</t>
  </si>
  <si>
    <t>Relatorio de Gestão do CA</t>
  </si>
  <si>
    <t>Relatorio do grau de cumprimento do plano estratégico</t>
  </si>
  <si>
    <t>Relatorio de avaliacao do plano estratégico (interno)</t>
  </si>
  <si>
    <t>Relatorio do grau de cumprimento do plano de negócios</t>
  </si>
  <si>
    <t>Informação económica do sector</t>
  </si>
  <si>
    <t>Relatório de Gestão do CA</t>
  </si>
  <si>
    <t>Relatório do Auditor Independente (incluindo as notas)</t>
  </si>
  <si>
    <t>Relatório do Conselho Fiscal</t>
  </si>
  <si>
    <t>Demonstração de Fluxo de Caixa</t>
  </si>
  <si>
    <t>Balanço e Demonstração de Resultados</t>
  </si>
  <si>
    <t xml:space="preserve">Balancete Analítico e do Razão </t>
  </si>
  <si>
    <t>X</t>
  </si>
  <si>
    <t>Variação %</t>
  </si>
  <si>
    <t>Comentários / Justificação para as maiores variações orçamentadas (positivas e negativas):</t>
  </si>
  <si>
    <t>PRINCIPAIS VARIAÇÕES PARA O ORÇAMENTO ANO SEGUINTE</t>
  </si>
  <si>
    <t>Estimado</t>
  </si>
  <si>
    <t>DESCRIÇÃO DO INVESTIMENTO</t>
  </si>
  <si>
    <t>REF.ª</t>
  </si>
  <si>
    <t>TOTAL DOS INVESTIMENTOS</t>
  </si>
  <si>
    <t>ORÇAMENTO DE INVESTIMENTOS</t>
  </si>
  <si>
    <t>RÁCIOS E INDICADORES ECONÓMICO-FINANCEIROS</t>
  </si>
  <si>
    <t>RÁCIOS DE LIQUIDEZ</t>
  </si>
  <si>
    <t>LIQUIDEZ IMEDIATA</t>
  </si>
  <si>
    <t>LIQUIDEZ REDUZIDA</t>
  </si>
  <si>
    <t>LIQUIDEZ GERAL</t>
  </si>
  <si>
    <t xml:space="preserve">   = (Disponibilidades / Passivo Corrente)</t>
  </si>
  <si>
    <t>RÁCIOS DE ENDIVIDAMENTO</t>
  </si>
  <si>
    <t>SOLVABILIDADE</t>
  </si>
  <si>
    <t>AUTONOMIA FINANCEIRA (%)</t>
  </si>
  <si>
    <t>ENDIVIDAMENTO (%)</t>
  </si>
  <si>
    <t>ESTRUTURA DO ENDIVIDAMENTO (%)</t>
  </si>
  <si>
    <t>IMOBILIZAÇÃO CAPITAIS PERMANENTES</t>
  </si>
  <si>
    <t>CAPACIDADE DE ENDIV. A M/L PRAZO (%)</t>
  </si>
  <si>
    <t xml:space="preserve">   = (Capital Próprio / Passivo)</t>
  </si>
  <si>
    <t xml:space="preserve">   = (Passivo Corrente / Passivo)</t>
  </si>
  <si>
    <t>RÁCIOS DE FUNCIONAMENTO</t>
  </si>
  <si>
    <t>PRAZO MÉDIO DE RECEBIMENTOS (dias)</t>
  </si>
  <si>
    <t>PRAZO MÉDIO DE PAGAMENTOS (dias)</t>
  </si>
  <si>
    <t>PRAZO MÉDIO DE EXISTÊNCIAS (dias)</t>
  </si>
  <si>
    <t>ROTAÇÃO DO ATIVO</t>
  </si>
  <si>
    <t xml:space="preserve">   = [Clientes / (Vendas + Prest. Serviços)] x 365</t>
  </si>
  <si>
    <t>RENTABILIDADE ECONÓMICA</t>
  </si>
  <si>
    <t>RENTABILIDADE DO ATIVO (%)</t>
  </si>
  <si>
    <t>RENTABILIDADE ECONÓMICA (%)</t>
  </si>
  <si>
    <t>RENTABILIDADE DO INVESTIMENTO (%)</t>
  </si>
  <si>
    <t>RENTABILIDADE LÍQUIDA DO ATIVO (%)</t>
  </si>
  <si>
    <t>MARGEM EBIT (%)</t>
  </si>
  <si>
    <t xml:space="preserve">   = (Activo Corrente-Inventários) / Passivo Corrente</t>
  </si>
  <si>
    <t xml:space="preserve">   = Activo Corrente / Passivo Corrente</t>
  </si>
  <si>
    <t xml:space="preserve">   = (Capital Próprio / Activo)</t>
  </si>
  <si>
    <t xml:space="preserve">   = (Passivo / Activo)</t>
  </si>
  <si>
    <t>RENTABILIDADE FINANCEIRA</t>
  </si>
  <si>
    <t>RENTABILIDADE DAS VENDAS E SERV. PREST. (%)</t>
  </si>
  <si>
    <t>RENTABILIDADE DO CAPITAL PRÓPRIO (%)</t>
  </si>
  <si>
    <t>RENTABILIDADE DOS CAPITAL PERMANENTES (%)</t>
  </si>
  <si>
    <t>MARGEM EBITDA (%)</t>
  </si>
  <si>
    <t>COBERTURA DO ATIVO NÃO CORRENTE</t>
  </si>
  <si>
    <t xml:space="preserve">   = Resultado Líquido do Período / (Vendas + Serv. Prestados)</t>
  </si>
  <si>
    <t xml:space="preserve">   = Resultado Líquido / Capital Próprio</t>
  </si>
  <si>
    <t xml:space="preserve">   = EBITDA / (Vendas + Serv. Prestados)</t>
  </si>
  <si>
    <t xml:space="preserve">   = Res. Líquido do Período / (Capital Próprio + Dívidas Não Corr. a terceiros)</t>
  </si>
  <si>
    <t xml:space="preserve">   = (Empréstimos obtidos + Fornec. imobilizado - Disponibilidades) / EBITDA</t>
  </si>
  <si>
    <r>
      <rPr>
        <i/>
        <sz val="11"/>
        <color theme="1"/>
        <rFont val="Calibri"/>
        <family val="2"/>
        <scheme val="minor"/>
      </rPr>
      <t xml:space="preserve">NET DEBT </t>
    </r>
    <r>
      <rPr>
        <sz val="11"/>
        <color theme="1"/>
        <rFont val="Calibri"/>
        <family val="2"/>
        <scheme val="minor"/>
      </rPr>
      <t xml:space="preserve">/ </t>
    </r>
    <r>
      <rPr>
        <i/>
        <sz val="11"/>
        <color theme="1"/>
        <rFont val="Calibri"/>
        <family val="2"/>
        <scheme val="minor"/>
      </rPr>
      <t>EBITDA</t>
    </r>
  </si>
  <si>
    <t xml:space="preserve">   = (Capital Próprio + Passivo Não Corrente) / Activo Não Corrente</t>
  </si>
  <si>
    <t xml:space="preserve">   = Capital Próprio / (Capital Próprio + Passivo Não Corrente)</t>
  </si>
  <si>
    <r>
      <t xml:space="preserve">   = {[(Fornecedores</t>
    </r>
    <r>
      <rPr>
        <i/>
        <vertAlign val="subscript"/>
        <sz val="8"/>
        <color theme="0" tint="-0.499984740745262"/>
        <rFont val="Calibri"/>
        <family val="2"/>
        <scheme val="minor"/>
      </rPr>
      <t>n-1</t>
    </r>
    <r>
      <rPr>
        <i/>
        <sz val="8"/>
        <color theme="0" tint="-0.499984740745262"/>
        <rFont val="Calibri"/>
        <family val="2"/>
        <scheme val="minor"/>
      </rPr>
      <t xml:space="preserve"> + Fornecedores</t>
    </r>
    <r>
      <rPr>
        <i/>
        <vertAlign val="subscript"/>
        <sz val="8"/>
        <color theme="0" tint="-0.499984740745262"/>
        <rFont val="Calibri"/>
        <family val="2"/>
        <scheme val="minor"/>
      </rPr>
      <t>n</t>
    </r>
    <r>
      <rPr>
        <i/>
        <sz val="8"/>
        <color theme="0" tint="-0.499984740745262"/>
        <rFont val="Calibri"/>
        <family val="2"/>
        <scheme val="minor"/>
      </rPr>
      <t>) / 2] / (Compras + FSE) } x 365</t>
    </r>
  </si>
  <si>
    <t>-</t>
  </si>
  <si>
    <r>
      <t xml:space="preserve">   = {[(Inventários</t>
    </r>
    <r>
      <rPr>
        <i/>
        <vertAlign val="subscript"/>
        <sz val="8"/>
        <color theme="0" tint="-0.499984740745262"/>
        <rFont val="Calibri"/>
        <family val="2"/>
        <scheme val="minor"/>
      </rPr>
      <t>n-1</t>
    </r>
    <r>
      <rPr>
        <i/>
        <sz val="8"/>
        <color theme="0" tint="-0.499984740745262"/>
        <rFont val="Calibri"/>
        <family val="2"/>
        <scheme val="minor"/>
      </rPr>
      <t xml:space="preserve"> + Inventários</t>
    </r>
    <r>
      <rPr>
        <i/>
        <vertAlign val="subscript"/>
        <sz val="8"/>
        <color theme="0" tint="-0.499984740745262"/>
        <rFont val="Calibri"/>
        <family val="2"/>
        <scheme val="minor"/>
      </rPr>
      <t>n</t>
    </r>
    <r>
      <rPr>
        <i/>
        <sz val="8"/>
        <color theme="0" tint="-0.499984740745262"/>
        <rFont val="Calibri"/>
        <family val="2"/>
        <scheme val="minor"/>
      </rPr>
      <t>) / 2] / (CMVMC) } x 365</t>
    </r>
  </si>
  <si>
    <t xml:space="preserve">   = (Vendas + Serv. Prestados) / Activo</t>
  </si>
  <si>
    <t xml:space="preserve">   = (Capital Próprio + Passivo não corrente ) / Activo Não Corrente</t>
  </si>
  <si>
    <t xml:space="preserve">   = EBIT / Ativo</t>
  </si>
  <si>
    <t xml:space="preserve">   = RAI / (Capital Próprio + Passivo Não Corrente)</t>
  </si>
  <si>
    <t xml:space="preserve">   = EBIT / (Vendas + Serv. Prestados)</t>
  </si>
  <si>
    <t xml:space="preserve">   = Resultado Líquido do Período / Activo</t>
  </si>
  <si>
    <r>
      <t xml:space="preserve">   = Resultado Líquido do Período / Ativo</t>
    </r>
    <r>
      <rPr>
        <i/>
        <vertAlign val="subscript"/>
        <sz val="8"/>
        <color theme="0" tint="-0.499984740745262"/>
        <rFont val="Calibri"/>
        <family val="2"/>
        <scheme val="minor"/>
      </rPr>
      <t>n-1</t>
    </r>
  </si>
  <si>
    <t>MARGEM BRUTA (%)</t>
  </si>
  <si>
    <t xml:space="preserve">   = [(Vendas + Serv. Prestados)-CMVMC] / ((Vendas + Serv. Prestados)</t>
  </si>
  <si>
    <t>MARGEM LÍQUIDA (%)</t>
  </si>
  <si>
    <t xml:space="preserve">   = Resultado Líquido / (Vendas + Serv. Prestados)</t>
  </si>
  <si>
    <t xml:space="preserve">   = (Emp. Obtidos ML Prazo / Activo)</t>
  </si>
  <si>
    <t>LONG-TERM DEBT RATIO</t>
  </si>
  <si>
    <t>assinalar com X nos campos apropriados</t>
  </si>
  <si>
    <t>Benchmark</t>
  </si>
  <si>
    <t>INDICADORES RELATIVOS</t>
  </si>
  <si>
    <r>
      <t xml:space="preserve">Resultado Líquido </t>
    </r>
    <r>
      <rPr>
        <sz val="9"/>
        <color theme="1" tint="0.499984740745262"/>
        <rFont val="Calibri"/>
        <family val="2"/>
        <scheme val="minor"/>
      </rPr>
      <t>(em % das vendas)</t>
    </r>
  </si>
  <si>
    <r>
      <t>Margem Bruta</t>
    </r>
    <r>
      <rPr>
        <sz val="9"/>
        <color theme="1" tint="0.499984740745262"/>
        <rFont val="Calibri"/>
        <family val="2"/>
        <scheme val="minor"/>
      </rPr>
      <t xml:space="preserve"> (em % das vendas)</t>
    </r>
  </si>
  <si>
    <r>
      <t xml:space="preserve">Custos Operacionais </t>
    </r>
    <r>
      <rPr>
        <sz val="9"/>
        <color theme="1" tint="0.499984740745262"/>
        <rFont val="Calibri"/>
        <family val="2"/>
        <scheme val="minor"/>
      </rPr>
      <t>(em % das vendas)</t>
    </r>
  </si>
  <si>
    <r>
      <t xml:space="preserve">Custos com Pessoal </t>
    </r>
    <r>
      <rPr>
        <sz val="9"/>
        <color theme="1" tint="0.499984740745262"/>
        <rFont val="Calibri"/>
        <family val="2"/>
        <scheme val="minor"/>
      </rPr>
      <t>(em % das vendas)</t>
    </r>
  </si>
  <si>
    <r>
      <t xml:space="preserve">Resultado Operacional </t>
    </r>
    <r>
      <rPr>
        <sz val="9"/>
        <color theme="1" tint="0.499984740745262"/>
        <rFont val="Calibri"/>
        <family val="2"/>
        <scheme val="minor"/>
      </rPr>
      <t>(em % das vendas)</t>
    </r>
  </si>
  <si>
    <r>
      <t>Resultado Financeiro</t>
    </r>
    <r>
      <rPr>
        <sz val="9"/>
        <color theme="1" tint="0.499984740745262"/>
        <rFont val="Calibri"/>
        <family val="2"/>
        <scheme val="minor"/>
      </rPr>
      <t xml:space="preserve"> (em % das vendas)</t>
    </r>
  </si>
  <si>
    <t>MATRIZ DE AVALIAÇÃO DE DESEMPENHO DO CONSELHO DE ADMINISTRAÇÃO</t>
  </si>
  <si>
    <r>
      <t xml:space="preserve">Solvabilidade </t>
    </r>
    <r>
      <rPr>
        <sz val="9"/>
        <color theme="1" tint="0.499984740745262"/>
        <rFont val="Calibri"/>
        <family val="2"/>
        <scheme val="minor"/>
      </rPr>
      <t>(Cap.Próprios / Passivo)</t>
    </r>
  </si>
  <si>
    <r>
      <t>Liquidez Gera</t>
    </r>
    <r>
      <rPr>
        <sz val="11"/>
        <rFont val="Calibri"/>
        <family val="2"/>
        <scheme val="minor"/>
      </rPr>
      <t>l</t>
    </r>
    <r>
      <rPr>
        <sz val="9"/>
        <color theme="0" tint="-0.499984740745262"/>
        <rFont val="Calibri"/>
        <family val="2"/>
        <scheme val="minor"/>
      </rPr>
      <t xml:space="preserve"> </t>
    </r>
    <r>
      <rPr>
        <sz val="9"/>
        <color theme="1" tint="0.499984740745262"/>
        <rFont val="Calibri"/>
        <family val="2"/>
        <scheme val="minor"/>
      </rPr>
      <t>(Activo Corrente / Passivo Corrente)</t>
    </r>
  </si>
  <si>
    <r>
      <t xml:space="preserve">Autonomia Financeira </t>
    </r>
    <r>
      <rPr>
        <sz val="9"/>
        <color theme="1" tint="0.499984740745262"/>
        <rFont val="Calibri"/>
        <family val="2"/>
        <scheme val="minor"/>
      </rPr>
      <t xml:space="preserve"> (Cap.Próprios / Activo Líquido)</t>
    </r>
  </si>
  <si>
    <r>
      <t xml:space="preserve">Rent. Cap. Proprio </t>
    </r>
    <r>
      <rPr>
        <sz val="9"/>
        <color theme="1" tint="0.499984740745262"/>
        <rFont val="Calibri"/>
        <family val="2"/>
        <scheme val="minor"/>
      </rPr>
      <t>(Res. Líquido / Capital Próprio)</t>
    </r>
  </si>
  <si>
    <t>Taxa de Crescimento Anual das Vendas</t>
  </si>
  <si>
    <t>Resultado Financeiro</t>
  </si>
  <si>
    <t>Custos com Pessoal</t>
  </si>
  <si>
    <t>Custos Operacionais</t>
  </si>
  <si>
    <t>Vendas e Prest. de Serviços</t>
  </si>
  <si>
    <r>
      <t xml:space="preserve">Custos com pessoal / Custos Operac. </t>
    </r>
    <r>
      <rPr>
        <sz val="9"/>
        <color theme="1"/>
        <rFont val="Calibri"/>
        <family val="2"/>
        <scheme val="minor"/>
      </rPr>
      <t>(exc. CMVMC)</t>
    </r>
  </si>
  <si>
    <t>Total Activo</t>
  </si>
  <si>
    <t>Total Passivo</t>
  </si>
  <si>
    <t>Total Capital Próprio</t>
  </si>
  <si>
    <t>MATRIZ DE AVALIAÇÃO DE DESEMPENHO DO C.A.</t>
  </si>
  <si>
    <t>INFORMAÇÃO SOBRE GARANTIAS E OUTRAS RESPONSABILIDADES CONTINGENTES</t>
  </si>
  <si>
    <t>DESCRIÇÃO DA GARANTIA</t>
  </si>
  <si>
    <t>MONTANTE</t>
  </si>
  <si>
    <t>MOEDA</t>
  </si>
  <si>
    <t>ENTIDADE EMITENTE</t>
  </si>
  <si>
    <t>VALIDADE DA GARANTIA</t>
  </si>
  <si>
    <t>GARANTIAS OBTIDAS</t>
  </si>
  <si>
    <t>GARANTIAS CONCEDIDAS</t>
  </si>
  <si>
    <t>OUTRAS RESPONSABILIDADES CONTINGENTES</t>
  </si>
  <si>
    <t>DESCRIÇÃO DA RESPONSABILIDADE</t>
  </si>
  <si>
    <t>OBSERVAÇÕES</t>
  </si>
  <si>
    <t>GARANTIAS E RESPONSABILIDADES</t>
  </si>
  <si>
    <t>PAGAMENTO E RECEBIMENTO DE DIVIDENDOS</t>
  </si>
  <si>
    <t>DIVIDENDOS RECEBIDOS</t>
  </si>
  <si>
    <t>DIVIDENDOS PAGOS</t>
  </si>
  <si>
    <t>ENTIDADE PAGADORA</t>
  </si>
  <si>
    <t>DIVIDENDOS PAGOS E RECEBIDOS</t>
  </si>
  <si>
    <t>PAGAMENTO DE IMPOSTOS E CONTRIBUIÇÕES AO ESTADO</t>
  </si>
  <si>
    <t>IMPOSTO / CONTRIBUIÇÃO</t>
  </si>
  <si>
    <t>IRPS</t>
  </si>
  <si>
    <t>IRPC</t>
  </si>
  <si>
    <t>IVA</t>
  </si>
  <si>
    <t>IMPOSTO DE SELO</t>
  </si>
  <si>
    <t>INSS</t>
  </si>
  <si>
    <t>OUTRAS CONTRIBUIÇÕES</t>
  </si>
  <si>
    <t>OUTROS IMPOSTOS E TAXAS</t>
  </si>
  <si>
    <t>IMPOSTOS E CONTRIBUIÇÕES</t>
  </si>
  <si>
    <t>ANÁLISE DUPONT</t>
  </si>
  <si>
    <t>ACTIVO TOTAL</t>
  </si>
  <si>
    <t>PASSIVO TOTAL</t>
  </si>
  <si>
    <t>LUCRO LÍQUIDO</t>
  </si>
  <si>
    <t>PATRIMÓNIO LÍQUIDO</t>
  </si>
  <si>
    <t>ROTAÇÃO DO ACTIVO</t>
  </si>
  <si>
    <t>ESTRUTURA FINANCEIRA TOTAL</t>
  </si>
  <si>
    <t>MULTIPLICADOR ALAVANCAGEM FINANCEIRA</t>
  </si>
  <si>
    <r>
      <rPr>
        <b/>
        <i/>
        <sz val="11"/>
        <color theme="0"/>
        <rFont val="Calibri"/>
        <family val="2"/>
        <scheme val="minor"/>
      </rPr>
      <t>RETURN ON EQUITY</t>
    </r>
    <r>
      <rPr>
        <b/>
        <sz val="11"/>
        <color theme="0"/>
        <rFont val="Calibri"/>
        <family val="2"/>
        <scheme val="minor"/>
      </rPr>
      <t xml:space="preserve"> (ROE)</t>
    </r>
  </si>
  <si>
    <t>MARGEM LÍQUIDA</t>
  </si>
  <si>
    <t>TAXA DE RETORNO SOBRE ACTIVO TOTAL (ROA)</t>
  </si>
  <si>
    <t>Investimentos em Curso</t>
  </si>
  <si>
    <t>RESULTADO ANTES DE IMPOSTOS</t>
  </si>
  <si>
    <t>check RAI</t>
  </si>
  <si>
    <t>check RL</t>
  </si>
  <si>
    <t>IMPOSTO SOBRE RENDIMENTOS</t>
  </si>
  <si>
    <t>LOGOTIPO</t>
  </si>
  <si>
    <t>PLURIANUAIS</t>
  </si>
  <si>
    <r>
      <t xml:space="preserve">Meta com base no Plano de Negócios ou no </t>
    </r>
    <r>
      <rPr>
        <b/>
        <i/>
        <sz val="12"/>
        <color theme="1"/>
        <rFont val="Calibri"/>
        <family val="2"/>
        <scheme val="minor"/>
      </rPr>
      <t>Benchmark</t>
    </r>
  </si>
  <si>
    <t>Razoavel: 0.15 a 0.2; Boa &lt;0.15</t>
  </si>
  <si>
    <t>Razoavel: 0.75 a 1; Boa &gt;1</t>
  </si>
  <si>
    <t>Razoavel: 0.5 a 0.75; Boa &gt;0.75</t>
  </si>
  <si>
    <t xml:space="preserve"> Razoavel: 0.3 a 0.5; Boa &gt;0.5</t>
  </si>
  <si>
    <t>DADOS DA EMPRESA</t>
  </si>
  <si>
    <t>INFORMAÇÃO FINANCEIRA</t>
  </si>
  <si>
    <t>ELEMENTOS ORÇAMENTAIS</t>
  </si>
  <si>
    <t>OUTROS</t>
  </si>
  <si>
    <t>RELATÓRIOS</t>
  </si>
  <si>
    <t>RÁCIOS E AVALIAÇÃO</t>
  </si>
  <si>
    <t>ÍNDICE</t>
  </si>
  <si>
    <t>BACK TO COVER</t>
  </si>
  <si>
    <t>REPORTE DE INFORMAÇÃO</t>
  </si>
  <si>
    <t>Vendas de Servicos*</t>
  </si>
  <si>
    <t>Despesas Bancaria*</t>
  </si>
  <si>
    <t>POWER BLOX AFRICA, S.A.</t>
  </si>
  <si>
    <t>MZN</t>
  </si>
  <si>
    <t>JAN</t>
  </si>
  <si>
    <t>FEV</t>
  </si>
  <si>
    <t>APRIL</t>
  </si>
  <si>
    <t>MARCH</t>
  </si>
  <si>
    <t>MAY</t>
  </si>
  <si>
    <t>JUNE</t>
  </si>
  <si>
    <t>JULY</t>
  </si>
  <si>
    <t>AUGUST</t>
  </si>
  <si>
    <t>SEPTEMBER</t>
  </si>
  <si>
    <t>OCTOBER</t>
  </si>
  <si>
    <t>NOVEMBER</t>
  </si>
  <si>
    <t>DEZEMBER</t>
  </si>
  <si>
    <t>Taxa de Crescimento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</si>
</sst>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
    <numFmt numFmtId="165" formatCode="0.00%;\(0.00%\)"/>
    <numFmt numFmtId="166" formatCode="0.0%"/>
    <numFmt numFmtId="167" formatCode="#,##0;\(#,##0\)"/>
    <numFmt numFmtId="168" formatCode="0.0%;\(0.0%\)"/>
    <numFmt numFmtId="169" formatCode="#,##0.0;\(#,##0.0\)"/>
    <numFmt numFmtId="170" formatCode="#,##0.0"/>
  </numFmts>
  <fonts count="4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6"/>
      <color theme="1"/>
      <name val="Calibri"/>
      <family val="2"/>
      <scheme val="minor"/>
    </font>
    <font>
      <sz val="11"/>
      <name val="Calibri"/>
      <family val="2"/>
      <scheme val="minor"/>
    </font>
    <font>
      <b/>
      <i/>
      <sz val="11"/>
      <color theme="0"/>
      <name val="Calibri"/>
      <family val="2"/>
      <scheme val="minor"/>
    </font>
    <font>
      <sz val="8"/>
      <color theme="0" tint="-0.499984740745262"/>
      <name val="Calibri"/>
      <family val="2"/>
      <scheme val="minor"/>
    </font>
    <font>
      <b/>
      <sz val="16"/>
      <color theme="0"/>
      <name val="Calibri"/>
      <family val="2"/>
      <scheme val="minor"/>
    </font>
    <font>
      <u/>
      <sz val="11"/>
      <color theme="10"/>
      <name val="Calibri"/>
      <family val="2"/>
      <scheme val="minor"/>
    </font>
    <font>
      <sz val="11"/>
      <color theme="0"/>
      <name val="Calibri"/>
      <family val="2"/>
      <scheme val="minor"/>
    </font>
    <font>
      <b/>
      <sz val="11"/>
      <name val="Calibri"/>
      <family val="2"/>
      <scheme val="minor"/>
    </font>
    <font>
      <sz val="7"/>
      <color theme="0" tint="-0.499984740745262"/>
      <name val="Calibri"/>
      <family val="2"/>
      <scheme val="minor"/>
    </font>
    <font>
      <i/>
      <sz val="11"/>
      <color theme="1"/>
      <name val="Calibri"/>
      <family val="2"/>
      <scheme val="minor"/>
    </font>
    <font>
      <sz val="10"/>
      <color theme="1"/>
      <name val="Calibri"/>
      <family val="2"/>
      <scheme val="minor"/>
    </font>
    <font>
      <b/>
      <sz val="12"/>
      <color theme="1"/>
      <name val="Calibri"/>
      <family val="2"/>
      <scheme val="minor"/>
    </font>
    <font>
      <b/>
      <sz val="10"/>
      <color theme="1"/>
      <name val="Calibri"/>
      <family val="2"/>
      <scheme val="minor"/>
    </font>
    <font>
      <b/>
      <sz val="10"/>
      <name val="Calibri"/>
      <family val="2"/>
      <scheme val="minor"/>
    </font>
    <font>
      <b/>
      <sz val="10"/>
      <color theme="0"/>
      <name val="Calibri"/>
      <family val="2"/>
      <scheme val="minor"/>
    </font>
    <font>
      <i/>
      <sz val="7"/>
      <color theme="1" tint="0.499984740745262"/>
      <name val="Calibri"/>
      <family val="2"/>
      <scheme val="minor"/>
    </font>
    <font>
      <b/>
      <sz val="13"/>
      <color theme="0"/>
      <name val="Calibri"/>
      <family val="2"/>
      <scheme val="minor"/>
    </font>
    <font>
      <sz val="13"/>
      <color theme="1"/>
      <name val="Calibri"/>
      <family val="2"/>
      <scheme val="minor"/>
    </font>
    <font>
      <u/>
      <sz val="11"/>
      <color theme="1"/>
      <name val="Calibri"/>
      <family val="2"/>
      <scheme val="minor"/>
    </font>
    <font>
      <i/>
      <sz val="11"/>
      <color theme="2" tint="-0.499984740745262"/>
      <name val="Calibri"/>
      <family val="2"/>
      <scheme val="minor"/>
    </font>
    <font>
      <i/>
      <sz val="10"/>
      <color theme="2" tint="-0.499984740745262"/>
      <name val="Calibri"/>
      <family val="2"/>
      <scheme val="minor"/>
    </font>
    <font>
      <b/>
      <sz val="9"/>
      <color theme="1"/>
      <name val="Calibri"/>
      <family val="2"/>
      <scheme val="minor"/>
    </font>
    <font>
      <b/>
      <sz val="13"/>
      <color theme="1"/>
      <name val="Calibri"/>
      <family val="2"/>
      <scheme val="minor"/>
    </font>
    <font>
      <b/>
      <sz val="14"/>
      <color theme="0"/>
      <name val="Calibri"/>
      <family val="2"/>
      <scheme val="minor"/>
    </font>
    <font>
      <sz val="14"/>
      <color theme="1"/>
      <name val="Calibri"/>
      <family val="2"/>
      <scheme val="minor"/>
    </font>
    <font>
      <i/>
      <sz val="10"/>
      <color rgb="FFFF0000"/>
      <name val="Calibri"/>
      <family val="2"/>
      <scheme val="minor"/>
    </font>
    <font>
      <i/>
      <sz val="8"/>
      <color theme="0" tint="-0.499984740745262"/>
      <name val="Calibri"/>
      <family val="2"/>
      <scheme val="minor"/>
    </font>
    <font>
      <i/>
      <vertAlign val="subscript"/>
      <sz val="8"/>
      <color theme="0" tint="-0.499984740745262"/>
      <name val="Calibri"/>
      <family val="2"/>
      <scheme val="minor"/>
    </font>
    <font>
      <i/>
      <sz val="11"/>
      <color theme="0" tint="-0.499984740745262"/>
      <name val="Calibri"/>
      <family val="2"/>
      <scheme val="minor"/>
    </font>
    <font>
      <i/>
      <sz val="9"/>
      <color theme="0" tint="-0.499984740745262"/>
      <name val="Calibri"/>
      <family val="2"/>
      <scheme val="minor"/>
    </font>
    <font>
      <b/>
      <i/>
      <sz val="12"/>
      <color theme="1"/>
      <name val="Calibri"/>
      <family val="2"/>
      <scheme val="minor"/>
    </font>
    <font>
      <sz val="9"/>
      <color theme="0" tint="-0.499984740745262"/>
      <name val="Calibri"/>
      <family val="2"/>
      <scheme val="minor"/>
    </font>
    <font>
      <sz val="9"/>
      <color theme="1"/>
      <name val="Calibri"/>
      <family val="2"/>
      <scheme val="minor"/>
    </font>
    <font>
      <sz val="9"/>
      <color theme="1" tint="0.499984740745262"/>
      <name val="Calibri"/>
      <family val="2"/>
      <scheme val="minor"/>
    </font>
    <font>
      <b/>
      <sz val="22"/>
      <color theme="0"/>
      <name val="Calibri"/>
      <family val="2"/>
      <scheme val="minor"/>
    </font>
    <font>
      <b/>
      <sz val="18"/>
      <color theme="0"/>
      <name val="Calibri"/>
      <family val="2"/>
      <scheme val="minor"/>
    </font>
    <font>
      <b/>
      <sz val="20"/>
      <color theme="0"/>
      <name val="Calibri"/>
      <family val="2"/>
      <scheme val="minor"/>
    </font>
    <font>
      <sz val="8"/>
      <color rgb="FF000000"/>
      <name val="Segoe UI"/>
      <family val="2"/>
    </font>
  </fonts>
  <fills count="26">
    <fill>
      <patternFill patternType="none"/>
    </fill>
    <fill>
      <patternFill patternType="gray125"/>
    </fill>
    <fill>
      <patternFill patternType="solid">
        <fgColor theme="5" tint="0.39997558519241921"/>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theme="8" tint="-0.49998474074526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4"/>
        <bgColor indexed="64"/>
      </patternFill>
    </fill>
    <fill>
      <patternFill patternType="solid">
        <fgColor theme="1" tint="0.34998626667073579"/>
        <bgColor indexed="64"/>
      </patternFill>
    </fill>
    <fill>
      <patternFill patternType="solid">
        <fgColor theme="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249977111117893"/>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4" tint="0.39994506668294322"/>
        <bgColor indexed="64"/>
      </patternFill>
    </fill>
  </fills>
  <borders count="14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right/>
      <top/>
      <bottom style="thin">
        <color theme="0" tint="-0.14993743705557422"/>
      </bottom>
      <diagonal/>
    </border>
    <border>
      <left style="thin">
        <color theme="0" tint="-0.14993743705557422"/>
      </left>
      <right/>
      <top/>
      <bottom style="thin">
        <color theme="0" tint="-0.14993743705557422"/>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hair">
        <color theme="0" tint="-0.14993743705557422"/>
      </right>
      <top style="thin">
        <color theme="0" tint="-0.14993743705557422"/>
      </top>
      <bottom style="thin">
        <color theme="0" tint="-0.14993743705557422"/>
      </bottom>
      <diagonal/>
    </border>
    <border>
      <left style="hair">
        <color theme="0" tint="-0.14993743705557422"/>
      </left>
      <right style="thin">
        <color theme="0" tint="-0.14996795556505021"/>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style="thin">
        <color theme="0" tint="-0.14990691854609822"/>
      </left>
      <right style="thin">
        <color theme="0" tint="-0.14993743705557422"/>
      </right>
      <top style="thin">
        <color theme="0" tint="-0.14993743705557422"/>
      </top>
      <bottom style="thin">
        <color theme="0" tint="-0.14993743705557422"/>
      </bottom>
      <diagonal/>
    </border>
    <border>
      <left/>
      <right/>
      <top style="thin">
        <color theme="0" tint="-0.14996795556505021"/>
      </top>
      <bottom/>
      <diagonal/>
    </border>
    <border>
      <left/>
      <right style="thin">
        <color theme="0" tint="-0.14990691854609822"/>
      </right>
      <top style="thin">
        <color theme="0" tint="-0.14993743705557422"/>
      </top>
      <bottom style="thin">
        <color theme="0" tint="-0.14993743705557422"/>
      </bottom>
      <diagonal/>
    </border>
    <border>
      <left style="thin">
        <color theme="0" tint="-0.14990691854609822"/>
      </left>
      <right style="thin">
        <color theme="0" tint="-0.14990691854609822"/>
      </right>
      <top style="thin">
        <color auto="1"/>
      </top>
      <bottom style="thin">
        <color theme="0" tint="-0.14993743705557422"/>
      </bottom>
      <diagonal/>
    </border>
    <border>
      <left/>
      <right style="thin">
        <color theme="0" tint="-0.14990691854609822"/>
      </right>
      <top style="thin">
        <color theme="0" tint="-0.14993743705557422"/>
      </top>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style="thin">
        <color theme="0" tint="-0.14993743705557422"/>
      </bottom>
      <diagonal/>
    </border>
    <border>
      <left style="thin">
        <color theme="0" tint="-0.14996795556505021"/>
      </left>
      <right style="thin">
        <color theme="0"/>
      </right>
      <top style="thin">
        <color theme="0" tint="-0.14996795556505021"/>
      </top>
      <bottom style="thin">
        <color theme="0" tint="-0.14996795556505021"/>
      </bottom>
      <diagonal/>
    </border>
    <border>
      <left style="thin">
        <color theme="0"/>
      </left>
      <right style="thin">
        <color theme="0"/>
      </right>
      <top style="thin">
        <color theme="0" tint="-0.14996795556505021"/>
      </top>
      <bottom style="thin">
        <color theme="0" tint="-0.14996795556505021"/>
      </bottom>
      <diagonal/>
    </border>
    <border>
      <left style="thin">
        <color theme="0"/>
      </left>
      <right style="thin">
        <color theme="0"/>
      </right>
      <top style="thin">
        <color theme="0" tint="-0.14996795556505021"/>
      </top>
      <bottom/>
      <diagonal/>
    </border>
    <border>
      <left style="thin">
        <color theme="0"/>
      </left>
      <right/>
      <top style="thin">
        <color theme="0" tint="-0.14996795556505021"/>
      </top>
      <bottom/>
      <diagonal/>
    </border>
    <border>
      <left style="thin">
        <color theme="0" tint="-0.14996795556505021"/>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0.14990691854609822"/>
      </left>
      <right style="thin">
        <color theme="0" tint="-0.14990691854609822"/>
      </right>
      <top style="thin">
        <color theme="0" tint="-0.14993743705557422"/>
      </top>
      <bottom style="thin">
        <color theme="0" tint="-0.14993743705557422"/>
      </bottom>
      <diagonal/>
    </border>
    <border>
      <left style="thin">
        <color theme="0" tint="-0.14990691854609822"/>
      </left>
      <right/>
      <top style="thin">
        <color theme="0" tint="-0.14993743705557422"/>
      </top>
      <bottom style="thin">
        <color theme="0" tint="-0.14993743705557422"/>
      </bottom>
      <diagonal/>
    </border>
    <border>
      <left style="thin">
        <color auto="1"/>
      </left>
      <right style="thin">
        <color auto="1"/>
      </right>
      <top style="thin">
        <color auto="1"/>
      </top>
      <bottom style="thin">
        <color auto="1"/>
      </bottom>
      <diagonal/>
    </border>
    <border>
      <left style="thin">
        <color theme="0" tint="-0.14993743705557422"/>
      </left>
      <right style="thin">
        <color theme="0" tint="-0.14990691854609822"/>
      </right>
      <top style="thin">
        <color theme="0" tint="-0.14993743705557422"/>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0691854609822"/>
      </right>
      <top/>
      <bottom style="thin">
        <color theme="0" tint="-0.14993743705557422"/>
      </bottom>
      <diagonal/>
    </border>
    <border>
      <left style="thin">
        <color theme="0" tint="-0.14990691854609822"/>
      </left>
      <right style="thin">
        <color theme="0" tint="-0.14990691854609822"/>
      </right>
      <top/>
      <bottom style="thin">
        <color theme="0" tint="-0.149937437055574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0691854609822"/>
      </left>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right style="thin">
        <color theme="0" tint="-0.14990691854609822"/>
      </right>
      <top style="thin">
        <color theme="0" tint="-0.14990691854609822"/>
      </top>
      <bottom style="thin">
        <color theme="0" tint="-0.14990691854609822"/>
      </bottom>
      <diagonal/>
    </border>
    <border>
      <left/>
      <right style="thin">
        <color theme="0" tint="-0.1498764000366222"/>
      </right>
      <top style="thin">
        <color theme="0" tint="-0.14990691854609822"/>
      </top>
      <bottom style="thin">
        <color theme="0" tint="-0.14990691854609822"/>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top style="thin">
        <color auto="1"/>
      </top>
      <bottom style="thin">
        <color auto="1"/>
      </bottom>
      <diagonal/>
    </border>
    <border>
      <left/>
      <right/>
      <top/>
      <bottom style="thin">
        <color theme="0"/>
      </bottom>
      <diagonal/>
    </border>
    <border>
      <left style="thin">
        <color theme="0" tint="-0.14996795556505021"/>
      </left>
      <right/>
      <top style="thin">
        <color theme="0"/>
      </top>
      <bottom style="thin">
        <color theme="0"/>
      </bottom>
      <diagonal/>
    </border>
    <border>
      <left/>
      <right/>
      <top style="thin">
        <color theme="0"/>
      </top>
      <bottom style="thin">
        <color theme="0"/>
      </bottom>
      <diagonal/>
    </border>
    <border>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top style="thin">
        <color auto="1"/>
      </top>
      <bottom style="thin">
        <color theme="0"/>
      </bottom>
      <diagonal/>
    </border>
    <border>
      <left/>
      <right/>
      <top style="thin">
        <color theme="0"/>
      </top>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right style="thin">
        <color theme="0" tint="-0.14996795556505021"/>
      </right>
      <top/>
      <bottom/>
      <diagonal/>
    </border>
    <border>
      <left style="thin">
        <color theme="0"/>
      </left>
      <right style="thin">
        <color theme="0"/>
      </right>
      <top style="thin">
        <color auto="1"/>
      </top>
      <bottom/>
      <diagonal/>
    </border>
    <border>
      <left style="thin">
        <color theme="0"/>
      </left>
      <right style="thin">
        <color theme="0"/>
      </right>
      <top/>
      <bottom style="thin">
        <color auto="1"/>
      </bottom>
      <diagonal/>
    </border>
    <border>
      <left/>
      <right/>
      <top style="thin">
        <color auto="1"/>
      </top>
      <bottom style="thin">
        <color theme="0"/>
      </bottom>
      <diagonal/>
    </border>
    <border>
      <left style="thin">
        <color auto="1"/>
      </left>
      <right style="thin">
        <color theme="0"/>
      </right>
      <top/>
      <bottom style="thin">
        <color auto="1"/>
      </bottom>
      <diagonal/>
    </border>
    <border>
      <left style="thin">
        <color theme="0"/>
      </left>
      <right style="thin">
        <color auto="1"/>
      </right>
      <top/>
      <bottom style="thin">
        <color auto="1"/>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auto="1"/>
      </top>
      <bottom/>
      <diagonal/>
    </border>
    <border>
      <left style="thin">
        <color theme="0"/>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theme="0"/>
      </top>
      <bottom style="thin">
        <color theme="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87640003662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left>
      <right/>
      <top style="thin">
        <color theme="0"/>
      </top>
      <bottom style="thin">
        <color auto="1"/>
      </bottom>
      <diagonal/>
    </border>
    <border>
      <left style="thin">
        <color theme="0" tint="-0.14996795556505021"/>
      </left>
      <right style="thin">
        <color theme="0" tint="-0.14996795556505021"/>
      </right>
      <top style="thin">
        <color theme="0" tint="-0.14996795556505021"/>
      </top>
      <bottom/>
      <diagonal/>
    </border>
    <border>
      <left style="thin">
        <color theme="0" tint="-0.34998626667073579"/>
      </left>
      <right style="thin">
        <color theme="0"/>
      </right>
      <top style="thin">
        <color theme="0" tint="-0.34998626667073579"/>
      </top>
      <bottom style="thin">
        <color theme="0" tint="-0.34998626667073579"/>
      </bottom>
      <diagonal/>
    </border>
    <border>
      <left style="thin">
        <color theme="0"/>
      </left>
      <right style="thin">
        <color theme="0"/>
      </right>
      <top style="thin">
        <color theme="0" tint="-0.34998626667073579"/>
      </top>
      <bottom style="thin">
        <color theme="0" tint="-0.34998626667073579"/>
      </bottom>
      <diagonal/>
    </border>
    <border>
      <left style="thin">
        <color theme="0"/>
      </left>
      <right style="thin">
        <color theme="0" tint="-0.34998626667073579"/>
      </right>
      <top style="thin">
        <color theme="0" tint="-0.34998626667073579"/>
      </top>
      <bottom style="thin">
        <color theme="0" tint="-0.34998626667073579"/>
      </bottom>
      <diagonal/>
    </border>
    <border>
      <left style="thin">
        <color theme="0"/>
      </left>
      <right/>
      <top style="thin">
        <color theme="0" tint="-0.34998626667073579"/>
      </top>
      <bottom style="thin">
        <color theme="0" tint="-0.34998626667073579"/>
      </bottom>
      <diagonal/>
    </border>
    <border>
      <left/>
      <right/>
      <top style="thin">
        <color auto="1"/>
      </top>
      <bottom style="thin">
        <color auto="1"/>
      </bottom>
      <diagonal/>
    </border>
    <border>
      <left/>
      <right/>
      <top style="thin">
        <color theme="0"/>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theme="0"/>
      </left>
      <right/>
      <top style="thin">
        <color auto="1"/>
      </top>
      <bottom/>
      <diagonal/>
    </border>
    <border>
      <left/>
      <right style="thin">
        <color theme="0" tint="-0.14996795556505021"/>
      </right>
      <top style="thin">
        <color theme="0" tint="-0.14996795556505021"/>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0691854609822"/>
      </left>
      <right/>
      <top style="thin">
        <color theme="0" tint="-0.14993743705557422"/>
      </top>
      <bottom/>
      <diagonal/>
    </border>
    <border>
      <left style="thin">
        <color theme="0" tint="-0.14996795556505021"/>
      </left>
      <right style="thin">
        <color theme="0" tint="-0.14996795556505021"/>
      </right>
      <top style="thin">
        <color auto="1"/>
      </top>
      <bottom style="thin">
        <color theme="0" tint="-0.14993743705557422"/>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3743705557422"/>
      </top>
      <bottom style="thin">
        <color theme="0" tint="-0.14996795556505021"/>
      </bottom>
      <diagonal/>
    </border>
    <border>
      <left style="thin">
        <color theme="0" tint="-0.1499679555650502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theme="0" tint="-0.1499679555650502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auto="1"/>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8764000366222"/>
      </right>
      <top style="thin">
        <color theme="0" tint="-0.14993743705557422"/>
      </top>
      <bottom style="thin">
        <color theme="0" tint="-0.14993743705557422"/>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auto="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theme="0" tint="-0.14993743705557422"/>
      </left>
      <right/>
      <top style="thin">
        <color theme="0" tint="-0.14993743705557422"/>
      </top>
      <bottom style="thin">
        <color theme="0" tint="-0.14990691854609822"/>
      </bottom>
      <diagonal/>
    </border>
    <border>
      <left/>
      <right/>
      <top style="thin">
        <color theme="0" tint="-0.14993743705557422"/>
      </top>
      <bottom style="thin">
        <color theme="0" tint="-0.14990691854609822"/>
      </bottom>
      <diagonal/>
    </border>
    <border>
      <left/>
      <right style="thin">
        <color theme="0" tint="-0.14993743705557422"/>
      </right>
      <top style="thin">
        <color theme="0" tint="-0.14993743705557422"/>
      </top>
      <bottom style="thin">
        <color theme="0" tint="-0.14990691854609822"/>
      </bottom>
      <diagonal/>
    </border>
    <border>
      <left style="thin">
        <color theme="0" tint="-0.14993743705557422"/>
      </left>
      <right/>
      <top style="thin">
        <color theme="0" tint="-0.14990691854609822"/>
      </top>
      <bottom style="thin">
        <color theme="0" tint="-0.14990691854609822"/>
      </bottom>
      <diagonal/>
    </border>
    <border>
      <left/>
      <right style="thin">
        <color theme="0" tint="-0.14993743705557422"/>
      </right>
      <top style="thin">
        <color theme="0" tint="-0.14990691854609822"/>
      </top>
      <bottom style="thin">
        <color theme="0" tint="-0.14990691854609822"/>
      </bottom>
      <diagonal/>
    </border>
    <border>
      <left style="thin">
        <color theme="0" tint="-0.14993743705557422"/>
      </left>
      <right/>
      <top style="thin">
        <color theme="0" tint="-0.14990691854609822"/>
      </top>
      <bottom style="thin">
        <color theme="0" tint="-0.14993743705557422"/>
      </bottom>
      <diagonal/>
    </border>
    <border>
      <left/>
      <right/>
      <top style="thin">
        <color theme="0" tint="-0.14990691854609822"/>
      </top>
      <bottom style="thin">
        <color theme="0" tint="-0.14993743705557422"/>
      </bottom>
      <diagonal/>
    </border>
    <border>
      <left/>
      <right style="thin">
        <color theme="0" tint="-0.14993743705557422"/>
      </right>
      <top style="thin">
        <color theme="0" tint="-0.14990691854609822"/>
      </top>
      <bottom style="thin">
        <color theme="0" tint="-0.14993743705557422"/>
      </bottom>
      <diagonal/>
    </border>
  </borders>
  <cellStyleXfs count="3">
    <xf numFmtId="0" fontId="0" fillId="0" borderId="0"/>
    <xf numFmtId="9" fontId="1" fillId="0" borderId="0" applyFont="0" applyFill="0" applyBorder="0" applyAlignment="0" applyProtection="0"/>
    <xf numFmtId="0" fontId="9" fillId="0" borderId="0" applyNumberFormat="0" applyFill="0" applyBorder="0" applyAlignment="0" applyProtection="0"/>
  </cellStyleXfs>
  <cellXfs count="559">
    <xf numFmtId="0" fontId="0" fillId="0" borderId="0" xfId="0"/>
    <xf numFmtId="0" fontId="0" fillId="3" borderId="0" xfId="0" applyFill="1" applyAlignment="1">
      <alignment vertical="center"/>
    </xf>
    <xf numFmtId="0" fontId="0" fillId="7" borderId="0" xfId="0" applyFill="1" applyAlignment="1" applyProtection="1">
      <alignment vertical="center"/>
      <protection hidden="1"/>
    </xf>
    <xf numFmtId="0" fontId="0" fillId="3" borderId="0" xfId="0" applyFill="1" applyAlignment="1" applyProtection="1">
      <alignment vertical="center"/>
      <protection hidden="1"/>
    </xf>
    <xf numFmtId="0" fontId="3" fillId="3" borderId="0" xfId="0" applyFont="1" applyFill="1" applyAlignment="1" applyProtection="1">
      <alignment horizontal="left" vertical="center" indent="1"/>
      <protection hidden="1"/>
    </xf>
    <xf numFmtId="0" fontId="2" fillId="4" borderId="2" xfId="0" applyFont="1" applyFill="1" applyBorder="1" applyAlignment="1" applyProtection="1">
      <alignment horizontal="left" vertical="center" indent="1"/>
      <protection hidden="1"/>
    </xf>
    <xf numFmtId="0" fontId="3" fillId="3" borderId="0" xfId="0" applyFont="1" applyFill="1" applyAlignment="1" applyProtection="1">
      <alignment vertical="center"/>
      <protection hidden="1"/>
    </xf>
    <xf numFmtId="0" fontId="7" fillId="3" borderId="0" xfId="0" applyFont="1" applyFill="1" applyAlignment="1" applyProtection="1">
      <alignment horizontal="left" vertical="top" indent="1"/>
      <protection hidden="1"/>
    </xf>
    <xf numFmtId="0" fontId="0" fillId="3" borderId="0" xfId="0" applyFill="1" applyAlignment="1" applyProtection="1">
      <alignment horizontal="left" vertical="center" wrapText="1" indent="1"/>
      <protection hidden="1"/>
    </xf>
    <xf numFmtId="0" fontId="2" fillId="4" borderId="14" xfId="0" applyFont="1" applyFill="1" applyBorder="1" applyAlignment="1" applyProtection="1">
      <alignment horizontal="center" vertical="center" wrapText="1"/>
      <protection hidden="1"/>
    </xf>
    <xf numFmtId="0" fontId="2" fillId="4" borderId="12" xfId="0" applyFont="1" applyFill="1" applyBorder="1" applyAlignment="1" applyProtection="1">
      <alignment horizontal="center" vertical="center" wrapText="1"/>
      <protection hidden="1"/>
    </xf>
    <xf numFmtId="10" fontId="0" fillId="3" borderId="0" xfId="0" applyNumberFormat="1" applyFill="1" applyAlignment="1" applyProtection="1">
      <alignment vertical="center"/>
      <protection hidden="1"/>
    </xf>
    <xf numFmtId="0" fontId="0" fillId="3" borderId="0" xfId="0" applyFill="1" applyAlignment="1" applyProtection="1">
      <alignment horizontal="right" vertical="center"/>
      <protection hidden="1"/>
    </xf>
    <xf numFmtId="0" fontId="5" fillId="7" borderId="0" xfId="0" applyFont="1" applyFill="1" applyAlignment="1" applyProtection="1">
      <alignment vertical="center"/>
      <protection hidden="1"/>
    </xf>
    <xf numFmtId="10" fontId="0" fillId="5" borderId="15" xfId="1" applyNumberFormat="1" applyFont="1" applyFill="1" applyBorder="1" applyAlignment="1" applyProtection="1">
      <alignment horizontal="right" vertical="center" indent="2"/>
      <protection locked="0"/>
    </xf>
    <xf numFmtId="0" fontId="0" fillId="5" borderId="13" xfId="0" applyFill="1" applyBorder="1" applyAlignment="1" applyProtection="1">
      <alignment horizontal="center" vertical="center"/>
      <protection locked="0"/>
    </xf>
    <xf numFmtId="10" fontId="0" fillId="5" borderId="17" xfId="1" applyNumberFormat="1" applyFont="1" applyFill="1" applyBorder="1" applyAlignment="1" applyProtection="1">
      <alignment horizontal="right" vertical="center" indent="2"/>
      <protection locked="0"/>
    </xf>
    <xf numFmtId="0" fontId="2" fillId="4" borderId="1" xfId="0" applyFont="1" applyFill="1" applyBorder="1" applyAlignment="1" applyProtection="1">
      <alignment horizontal="left" vertical="center" indent="1"/>
      <protection hidden="1"/>
    </xf>
    <xf numFmtId="0" fontId="7" fillId="3" borderId="0" xfId="0" applyFont="1" applyFill="1" applyAlignment="1" applyProtection="1">
      <alignment horizontal="left" vertical="center" indent="1"/>
      <protection hidden="1"/>
    </xf>
    <xf numFmtId="0" fontId="7" fillId="3" borderId="0" xfId="0" applyFont="1" applyFill="1" applyAlignment="1" applyProtection="1">
      <alignment vertical="top"/>
      <protection hidden="1"/>
    </xf>
    <xf numFmtId="0" fontId="3" fillId="5" borderId="1" xfId="0" applyFont="1" applyFill="1" applyBorder="1" applyAlignment="1" applyProtection="1">
      <alignment horizontal="center" vertical="center"/>
      <protection locked="0"/>
    </xf>
    <xf numFmtId="4" fontId="0" fillId="5" borderId="9" xfId="0" applyNumberFormat="1" applyFill="1" applyBorder="1" applyAlignment="1" applyProtection="1">
      <alignment horizontal="right" vertical="center" indent="1"/>
      <protection locked="0"/>
    </xf>
    <xf numFmtId="0" fontId="0" fillId="5" borderId="10" xfId="0" applyFill="1" applyBorder="1" applyAlignment="1" applyProtection="1">
      <alignment vertical="center"/>
      <protection locked="0"/>
    </xf>
    <xf numFmtId="0" fontId="2" fillId="4" borderId="24" xfId="0" applyFont="1" applyFill="1" applyBorder="1" applyAlignment="1" applyProtection="1">
      <alignment horizontal="center" vertical="center" wrapText="1"/>
      <protection hidden="1"/>
    </xf>
    <xf numFmtId="0" fontId="2" fillId="4" borderId="25" xfId="0" applyFont="1" applyFill="1" applyBorder="1" applyAlignment="1" applyProtection="1">
      <alignment horizontal="center" vertical="center" wrapText="1"/>
      <protection hidden="1"/>
    </xf>
    <xf numFmtId="0" fontId="2" fillId="4" borderId="22" xfId="0" applyFont="1" applyFill="1" applyBorder="1" applyAlignment="1" applyProtection="1">
      <alignment horizontal="center" vertical="center" wrapText="1"/>
      <protection hidden="1"/>
    </xf>
    <xf numFmtId="0" fontId="2" fillId="4" borderId="23" xfId="0" applyFont="1" applyFill="1" applyBorder="1" applyAlignment="1" applyProtection="1">
      <alignment horizontal="center" vertical="center" wrapText="1"/>
      <protection hidden="1"/>
    </xf>
    <xf numFmtId="0" fontId="0" fillId="5" borderId="18" xfId="0" applyFill="1" applyBorder="1" applyAlignment="1" applyProtection="1">
      <alignment horizontal="left" vertical="center" indent="1"/>
      <protection locked="0"/>
    </xf>
    <xf numFmtId="0" fontId="0" fillId="0" borderId="19" xfId="0" applyBorder="1" applyAlignment="1" applyProtection="1">
      <alignment horizontal="left" vertical="center" indent="1"/>
      <protection locked="0"/>
    </xf>
    <xf numFmtId="10" fontId="1" fillId="5" borderId="20" xfId="1" applyNumberFormat="1" applyFont="1" applyFill="1" applyBorder="1" applyAlignment="1" applyProtection="1">
      <alignment horizontal="left" vertical="center" indent="1"/>
      <protection locked="0"/>
    </xf>
    <xf numFmtId="10" fontId="1" fillId="5" borderId="21" xfId="1" applyNumberFormat="1" applyFont="1" applyFill="1" applyBorder="1" applyAlignment="1" applyProtection="1">
      <alignment horizontal="left" vertical="center" indent="1"/>
      <protection locked="0"/>
    </xf>
    <xf numFmtId="0" fontId="0" fillId="3" borderId="0" xfId="0" applyFill="1" applyAlignment="1" applyProtection="1">
      <alignment horizontal="center" vertical="center" wrapText="1"/>
      <protection hidden="1"/>
    </xf>
    <xf numFmtId="0" fontId="3" fillId="3" borderId="0" xfId="0" applyFont="1" applyFill="1" applyAlignment="1" applyProtection="1">
      <alignment horizontal="center" vertical="center" wrapText="1"/>
      <protection hidden="1"/>
    </xf>
    <xf numFmtId="0" fontId="3" fillId="9" borderId="27" xfId="0" applyFont="1" applyFill="1" applyBorder="1" applyAlignment="1" applyProtection="1">
      <alignment horizontal="center" vertical="center" wrapText="1"/>
      <protection hidden="1"/>
    </xf>
    <xf numFmtId="0" fontId="3" fillId="9" borderId="28" xfId="0" applyFont="1" applyFill="1" applyBorder="1" applyAlignment="1" applyProtection="1">
      <alignment horizontal="center" vertical="center" wrapText="1"/>
      <protection hidden="1"/>
    </xf>
    <xf numFmtId="0" fontId="3" fillId="9" borderId="29" xfId="0" applyFont="1" applyFill="1" applyBorder="1" applyAlignment="1" applyProtection="1">
      <alignment horizontal="center" vertical="center" wrapText="1"/>
      <protection hidden="1"/>
    </xf>
    <xf numFmtId="0" fontId="0" fillId="5" borderId="21" xfId="0" applyFill="1"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3" borderId="0" xfId="0" applyFill="1" applyAlignment="1" applyProtection="1">
      <alignment horizontal="center" vertical="center"/>
      <protection hidden="1"/>
    </xf>
    <xf numFmtId="4" fontId="0" fillId="0" borderId="30" xfId="0" applyNumberFormat="1" applyBorder="1" applyAlignment="1" applyProtection="1">
      <alignment horizontal="right" vertical="center" indent="1"/>
      <protection locked="0"/>
    </xf>
    <xf numFmtId="4" fontId="0" fillId="3" borderId="0" xfId="0" applyNumberFormat="1" applyFill="1" applyAlignment="1" applyProtection="1">
      <alignment horizontal="right" vertical="center" indent="1"/>
      <protection hidden="1"/>
    </xf>
    <xf numFmtId="0" fontId="0" fillId="5" borderId="33" xfId="0" applyFill="1" applyBorder="1" applyAlignment="1" applyProtection="1">
      <alignment horizontal="center" vertical="center"/>
      <protection locked="0"/>
    </xf>
    <xf numFmtId="0" fontId="3" fillId="5" borderId="35" xfId="0" applyFont="1" applyFill="1" applyBorder="1" applyAlignment="1" applyProtection="1">
      <alignment horizontal="center" vertical="center"/>
      <protection locked="0"/>
    </xf>
    <xf numFmtId="0" fontId="3" fillId="5" borderId="36" xfId="0" applyFont="1" applyFill="1" applyBorder="1" applyAlignment="1" applyProtection="1">
      <alignment horizontal="center" vertical="center"/>
      <protection locked="0"/>
    </xf>
    <xf numFmtId="0" fontId="3" fillId="8" borderId="34" xfId="0" applyFont="1" applyFill="1" applyBorder="1" applyAlignment="1" applyProtection="1">
      <alignment horizontal="center" vertical="center"/>
      <protection hidden="1"/>
    </xf>
    <xf numFmtId="0" fontId="11" fillId="11" borderId="2" xfId="0" applyFont="1" applyFill="1" applyBorder="1" applyAlignment="1" applyProtection="1">
      <alignment horizontal="left" vertical="center" indent="1"/>
      <protection hidden="1"/>
    </xf>
    <xf numFmtId="0" fontId="12" fillId="3" borderId="0" xfId="0" applyFont="1" applyFill="1" applyProtection="1">
      <protection hidden="1"/>
    </xf>
    <xf numFmtId="0" fontId="3" fillId="5" borderId="34" xfId="0" applyFont="1" applyFill="1" applyBorder="1" applyAlignment="1" applyProtection="1">
      <alignment horizontal="center" vertical="center"/>
      <protection locked="0"/>
    </xf>
    <xf numFmtId="0" fontId="0" fillId="9" borderId="43" xfId="0" applyFill="1" applyBorder="1" applyAlignment="1" applyProtection="1">
      <alignment horizontal="left" vertical="center" indent="1"/>
      <protection hidden="1"/>
    </xf>
    <xf numFmtId="0" fontId="15" fillId="9" borderId="27" xfId="0" applyFont="1" applyFill="1" applyBorder="1" applyAlignment="1" applyProtection="1">
      <alignment horizontal="center" vertical="center" wrapText="1"/>
      <protection hidden="1"/>
    </xf>
    <xf numFmtId="0" fontId="15" fillId="9" borderId="28" xfId="0" applyFont="1" applyFill="1" applyBorder="1" applyAlignment="1" applyProtection="1">
      <alignment horizontal="center" vertical="center" wrapText="1"/>
      <protection hidden="1"/>
    </xf>
    <xf numFmtId="0" fontId="0" fillId="9" borderId="46" xfId="0" applyFill="1" applyBorder="1" applyAlignment="1" applyProtection="1">
      <alignment horizontal="left" vertical="center" indent="1"/>
      <protection hidden="1"/>
    </xf>
    <xf numFmtId="0" fontId="0" fillId="9" borderId="49" xfId="0" applyFill="1" applyBorder="1" applyAlignment="1" applyProtection="1">
      <alignment horizontal="left" vertical="center" indent="1"/>
      <protection hidden="1"/>
    </xf>
    <xf numFmtId="0" fontId="3" fillId="9" borderId="51" xfId="0" applyFont="1" applyFill="1" applyBorder="1" applyAlignment="1" applyProtection="1">
      <alignment horizontal="left" vertical="center" indent="1"/>
      <protection hidden="1"/>
    </xf>
    <xf numFmtId="0" fontId="2" fillId="10" borderId="51" xfId="0" applyFont="1" applyFill="1" applyBorder="1" applyAlignment="1" applyProtection="1">
      <alignment horizontal="left" vertical="center" indent="1"/>
      <protection hidden="1"/>
    </xf>
    <xf numFmtId="0" fontId="15" fillId="11" borderId="28" xfId="0" applyFont="1" applyFill="1" applyBorder="1" applyAlignment="1" applyProtection="1">
      <alignment horizontal="center" vertical="center" wrapText="1"/>
      <protection hidden="1"/>
    </xf>
    <xf numFmtId="165" fontId="0" fillId="7" borderId="0" xfId="0" applyNumberFormat="1" applyFill="1" applyAlignment="1" applyProtection="1">
      <alignment vertical="center"/>
      <protection hidden="1"/>
    </xf>
    <xf numFmtId="165" fontId="0" fillId="3" borderId="0" xfId="0" applyNumberFormat="1" applyFill="1" applyAlignment="1" applyProtection="1">
      <alignment vertical="center"/>
      <protection hidden="1"/>
    </xf>
    <xf numFmtId="0" fontId="22" fillId="9" borderId="43" xfId="0" applyFont="1" applyFill="1" applyBorder="1" applyAlignment="1" applyProtection="1">
      <alignment horizontal="left" vertical="center" indent="1"/>
      <protection hidden="1"/>
    </xf>
    <xf numFmtId="0" fontId="3" fillId="9" borderId="27" xfId="0" applyFont="1" applyFill="1" applyBorder="1" applyAlignment="1" applyProtection="1">
      <alignment horizontal="left" vertical="center" indent="1"/>
      <protection hidden="1"/>
    </xf>
    <xf numFmtId="0" fontId="19" fillId="9" borderId="57" xfId="0" applyFont="1" applyFill="1" applyBorder="1" applyAlignment="1" applyProtection="1">
      <alignment horizontal="right" vertical="center" indent="1"/>
      <protection hidden="1"/>
    </xf>
    <xf numFmtId="165" fontId="14" fillId="3" borderId="45" xfId="0" applyNumberFormat="1" applyFont="1" applyFill="1" applyBorder="1" applyAlignment="1" applyProtection="1">
      <alignment horizontal="right" vertical="center" indent="1"/>
      <protection hidden="1"/>
    </xf>
    <xf numFmtId="165" fontId="14" fillId="3" borderId="48" xfId="0" applyNumberFormat="1" applyFont="1" applyFill="1" applyBorder="1" applyAlignment="1" applyProtection="1">
      <alignment horizontal="right" vertical="center" indent="1"/>
      <protection hidden="1"/>
    </xf>
    <xf numFmtId="165" fontId="16" fillId="3" borderId="53" xfId="0" applyNumberFormat="1" applyFont="1" applyFill="1" applyBorder="1" applyAlignment="1" applyProtection="1">
      <alignment horizontal="right" vertical="center" indent="1"/>
      <protection hidden="1"/>
    </xf>
    <xf numFmtId="165" fontId="18" fillId="10" borderId="53" xfId="0" applyNumberFormat="1" applyFont="1" applyFill="1" applyBorder="1" applyAlignment="1" applyProtection="1">
      <alignment horizontal="right" vertical="center" indent="1"/>
      <protection hidden="1"/>
    </xf>
    <xf numFmtId="165" fontId="19" fillId="3" borderId="59" xfId="0" applyNumberFormat="1" applyFont="1" applyFill="1" applyBorder="1" applyAlignment="1" applyProtection="1">
      <alignment horizontal="right" vertical="center" indent="1"/>
      <protection hidden="1"/>
    </xf>
    <xf numFmtId="165" fontId="16" fillId="9" borderId="45" xfId="0" applyNumberFormat="1" applyFont="1" applyFill="1" applyBorder="1" applyAlignment="1" applyProtection="1">
      <alignment horizontal="center" vertical="center" wrapText="1"/>
      <protection hidden="1"/>
    </xf>
    <xf numFmtId="0" fontId="3" fillId="3" borderId="48" xfId="0" applyFont="1" applyFill="1" applyBorder="1" applyAlignment="1" applyProtection="1">
      <alignment horizontal="center" vertical="center" wrapText="1"/>
      <protection hidden="1"/>
    </xf>
    <xf numFmtId="0" fontId="15" fillId="9" borderId="60" xfId="0" applyFont="1" applyFill="1" applyBorder="1" applyAlignment="1" applyProtection="1">
      <alignment horizontal="center" vertical="center" wrapText="1"/>
      <protection hidden="1"/>
    </xf>
    <xf numFmtId="0" fontId="15" fillId="11" borderId="60" xfId="0" applyFont="1" applyFill="1" applyBorder="1" applyAlignment="1" applyProtection="1">
      <alignment horizontal="center" vertical="center" wrapText="1"/>
      <protection hidden="1"/>
    </xf>
    <xf numFmtId="165" fontId="16" fillId="9" borderId="60" xfId="0" applyNumberFormat="1" applyFont="1" applyFill="1" applyBorder="1" applyAlignment="1" applyProtection="1">
      <alignment horizontal="center" vertical="center" wrapText="1"/>
      <protection hidden="1"/>
    </xf>
    <xf numFmtId="0" fontId="3" fillId="3" borderId="29" xfId="0" applyFont="1" applyFill="1" applyBorder="1" applyAlignment="1" applyProtection="1">
      <alignment horizontal="left" vertical="center" indent="1"/>
      <protection hidden="1"/>
    </xf>
    <xf numFmtId="0" fontId="0" fillId="9" borderId="48" xfId="0" applyFill="1" applyBorder="1" applyAlignment="1" applyProtection="1">
      <alignment horizontal="left" vertical="center" indent="1"/>
      <protection hidden="1"/>
    </xf>
    <xf numFmtId="0" fontId="3" fillId="9" borderId="53" xfId="0" applyFont="1" applyFill="1" applyBorder="1" applyAlignment="1" applyProtection="1">
      <alignment horizontal="left" vertical="center" indent="1"/>
      <protection hidden="1"/>
    </xf>
    <xf numFmtId="0" fontId="0" fillId="9" borderId="50" xfId="0" applyFill="1" applyBorder="1" applyAlignment="1" applyProtection="1">
      <alignment horizontal="left" vertical="center" indent="1"/>
      <protection hidden="1"/>
    </xf>
    <xf numFmtId="164" fontId="14" fillId="3" borderId="54" xfId="0" applyNumberFormat="1" applyFont="1" applyFill="1" applyBorder="1" applyAlignment="1" applyProtection="1">
      <alignment horizontal="right" vertical="center" indent="1"/>
      <protection hidden="1"/>
    </xf>
    <xf numFmtId="164" fontId="14" fillId="12" borderId="54" xfId="0" applyNumberFormat="1" applyFont="1" applyFill="1" applyBorder="1" applyAlignment="1" applyProtection="1">
      <alignment horizontal="right" vertical="center" indent="1"/>
      <protection hidden="1"/>
    </xf>
    <xf numFmtId="0" fontId="0" fillId="9" borderId="45" xfId="0" applyFill="1" applyBorder="1" applyAlignment="1" applyProtection="1">
      <alignment horizontal="left" vertical="center" indent="1"/>
      <protection hidden="1"/>
    </xf>
    <xf numFmtId="0" fontId="13" fillId="9" borderId="45" xfId="0" applyFont="1" applyFill="1" applyBorder="1" applyAlignment="1" applyProtection="1">
      <alignment horizontal="left" vertical="center" indent="1"/>
      <protection hidden="1"/>
    </xf>
    <xf numFmtId="0" fontId="2" fillId="10" borderId="53" xfId="0" applyFont="1" applyFill="1" applyBorder="1" applyAlignment="1" applyProtection="1">
      <alignment horizontal="left" vertical="center" indent="1"/>
      <protection hidden="1"/>
    </xf>
    <xf numFmtId="0" fontId="0" fillId="9" borderId="29" xfId="0" applyFill="1" applyBorder="1" applyAlignment="1" applyProtection="1">
      <alignment horizontal="left" vertical="center" indent="1"/>
      <protection hidden="1"/>
    </xf>
    <xf numFmtId="165" fontId="14" fillId="3" borderId="0" xfId="0" applyNumberFormat="1" applyFont="1" applyFill="1" applyAlignment="1" applyProtection="1">
      <alignment horizontal="right" vertical="center" indent="1"/>
      <protection hidden="1"/>
    </xf>
    <xf numFmtId="0" fontId="19" fillId="9" borderId="59" xfId="0" applyFont="1" applyFill="1" applyBorder="1" applyAlignment="1" applyProtection="1">
      <alignment horizontal="right" vertical="center" indent="1"/>
      <protection hidden="1"/>
    </xf>
    <xf numFmtId="0" fontId="23" fillId="9" borderId="43" xfId="0" applyFont="1" applyFill="1" applyBorder="1" applyAlignment="1" applyProtection="1">
      <alignment horizontal="left" vertical="center" indent="2"/>
      <protection hidden="1"/>
    </xf>
    <xf numFmtId="166" fontId="24" fillId="13" borderId="44" xfId="1" applyNumberFormat="1" applyFont="1" applyFill="1" applyBorder="1" applyAlignment="1" applyProtection="1">
      <alignment horizontal="right" vertical="center" indent="1"/>
      <protection hidden="1"/>
    </xf>
    <xf numFmtId="164" fontId="19" fillId="3" borderId="0" xfId="0" applyNumberFormat="1" applyFont="1" applyFill="1" applyAlignment="1" applyProtection="1">
      <alignment horizontal="right" vertical="center" indent="1"/>
      <protection hidden="1"/>
    </xf>
    <xf numFmtId="165" fontId="19" fillId="3" borderId="0" xfId="0" applyNumberFormat="1" applyFont="1" applyFill="1" applyAlignment="1" applyProtection="1">
      <alignment horizontal="right" vertical="center" indent="1"/>
      <protection hidden="1"/>
    </xf>
    <xf numFmtId="167" fontId="14" fillId="3" borderId="44" xfId="0" applyNumberFormat="1" applyFont="1" applyFill="1" applyBorder="1" applyAlignment="1" applyProtection="1">
      <alignment horizontal="right" vertical="center" indent="1"/>
      <protection hidden="1"/>
    </xf>
    <xf numFmtId="167" fontId="14" fillId="12" borderId="45" xfId="0" applyNumberFormat="1" applyFont="1" applyFill="1" applyBorder="1" applyAlignment="1" applyProtection="1">
      <alignment horizontal="right" vertical="center" indent="1"/>
      <protection hidden="1"/>
    </xf>
    <xf numFmtId="167" fontId="16" fillId="3" borderId="52" xfId="0" applyNumberFormat="1" applyFont="1" applyFill="1" applyBorder="1" applyAlignment="1" applyProtection="1">
      <alignment horizontal="right" vertical="center" indent="1"/>
      <protection hidden="1"/>
    </xf>
    <xf numFmtId="167" fontId="16" fillId="12" borderId="53" xfId="0" applyNumberFormat="1" applyFont="1" applyFill="1" applyBorder="1" applyAlignment="1" applyProtection="1">
      <alignment horizontal="right" vertical="center" indent="1"/>
      <protection hidden="1"/>
    </xf>
    <xf numFmtId="167" fontId="14" fillId="3" borderId="47" xfId="0" applyNumberFormat="1" applyFont="1" applyFill="1" applyBorder="1" applyAlignment="1" applyProtection="1">
      <alignment horizontal="right" vertical="center" indent="1"/>
      <protection hidden="1"/>
    </xf>
    <xf numFmtId="167" fontId="18" fillId="10" borderId="52" xfId="0" applyNumberFormat="1" applyFont="1" applyFill="1" applyBorder="1" applyAlignment="1" applyProtection="1">
      <alignment horizontal="right" vertical="center" indent="1"/>
      <protection hidden="1"/>
    </xf>
    <xf numFmtId="167" fontId="18" fillId="10" borderId="53" xfId="0" applyNumberFormat="1" applyFont="1" applyFill="1" applyBorder="1" applyAlignment="1" applyProtection="1">
      <alignment horizontal="right" vertical="center" indent="1"/>
      <protection hidden="1"/>
    </xf>
    <xf numFmtId="167" fontId="19" fillId="3" borderId="58" xfId="0" applyNumberFormat="1" applyFont="1" applyFill="1" applyBorder="1" applyAlignment="1" applyProtection="1">
      <alignment horizontal="right" vertical="center" indent="1"/>
      <protection hidden="1"/>
    </xf>
    <xf numFmtId="167" fontId="0" fillId="3" borderId="0" xfId="0" applyNumberFormat="1" applyFill="1" applyAlignment="1" applyProtection="1">
      <alignment vertical="center"/>
      <protection hidden="1"/>
    </xf>
    <xf numFmtId="167" fontId="14" fillId="3" borderId="42" xfId="0" applyNumberFormat="1" applyFont="1" applyFill="1" applyBorder="1" applyAlignment="1" applyProtection="1">
      <alignment horizontal="right" vertical="center" indent="1"/>
      <protection hidden="1"/>
    </xf>
    <xf numFmtId="167" fontId="14" fillId="12" borderId="50" xfId="0" applyNumberFormat="1" applyFont="1" applyFill="1" applyBorder="1" applyAlignment="1" applyProtection="1">
      <alignment horizontal="right" vertical="center" indent="1"/>
      <protection hidden="1"/>
    </xf>
    <xf numFmtId="167" fontId="16" fillId="3" borderId="28" xfId="0" applyNumberFormat="1" applyFont="1" applyFill="1" applyBorder="1" applyAlignment="1" applyProtection="1">
      <alignment horizontal="right" vertical="center" indent="1"/>
      <protection hidden="1"/>
    </xf>
    <xf numFmtId="167" fontId="16" fillId="12" borderId="29" xfId="0" applyNumberFormat="1" applyFont="1" applyFill="1" applyBorder="1" applyAlignment="1" applyProtection="1">
      <alignment horizontal="right" vertical="center" indent="1"/>
      <protection hidden="1"/>
    </xf>
    <xf numFmtId="167" fontId="19" fillId="3" borderId="59" xfId="0" applyNumberFormat="1" applyFont="1" applyFill="1" applyBorder="1" applyAlignment="1" applyProtection="1">
      <alignment horizontal="right" vertical="center" indent="1"/>
      <protection hidden="1"/>
    </xf>
    <xf numFmtId="3" fontId="0" fillId="5" borderId="9" xfId="0" applyNumberFormat="1" applyFill="1" applyBorder="1" applyAlignment="1" applyProtection="1">
      <alignment horizontal="center" vertical="center"/>
      <protection locked="0"/>
    </xf>
    <xf numFmtId="0" fontId="3" fillId="3" borderId="60" xfId="0" applyFont="1" applyFill="1" applyBorder="1" applyAlignment="1" applyProtection="1">
      <alignment horizontal="center" vertical="center" wrapText="1"/>
      <protection hidden="1"/>
    </xf>
    <xf numFmtId="0" fontId="15" fillId="9" borderId="46" xfId="0" applyFont="1" applyFill="1" applyBorder="1" applyAlignment="1" applyProtection="1">
      <alignment horizontal="center" vertical="center" wrapText="1"/>
      <protection hidden="1"/>
    </xf>
    <xf numFmtId="0" fontId="15" fillId="11" borderId="47" xfId="0" applyFont="1" applyFill="1" applyBorder="1" applyAlignment="1" applyProtection="1">
      <alignment horizontal="center" vertical="center" wrapText="1"/>
      <protection hidden="1"/>
    </xf>
    <xf numFmtId="165" fontId="16" fillId="9" borderId="48" xfId="0" applyNumberFormat="1" applyFont="1" applyFill="1" applyBorder="1" applyAlignment="1" applyProtection="1">
      <alignment horizontal="center" vertical="center" wrapText="1"/>
      <protection hidden="1"/>
    </xf>
    <xf numFmtId="167" fontId="14" fillId="3" borderId="46" xfId="0" applyNumberFormat="1" applyFont="1" applyFill="1" applyBorder="1" applyAlignment="1" applyProtection="1">
      <alignment horizontal="right" vertical="center" indent="1"/>
      <protection hidden="1"/>
    </xf>
    <xf numFmtId="167" fontId="14" fillId="12" borderId="47" xfId="0" applyNumberFormat="1" applyFont="1" applyFill="1" applyBorder="1" applyAlignment="1" applyProtection="1">
      <alignment horizontal="right" vertical="center" indent="1"/>
      <protection hidden="1"/>
    </xf>
    <xf numFmtId="167" fontId="14" fillId="3" borderId="27" xfId="0" applyNumberFormat="1" applyFont="1" applyFill="1" applyBorder="1" applyAlignment="1" applyProtection="1">
      <alignment horizontal="right" vertical="center" indent="1"/>
      <protection hidden="1"/>
    </xf>
    <xf numFmtId="167" fontId="14" fillId="3" borderId="28" xfId="0" applyNumberFormat="1" applyFont="1" applyFill="1" applyBorder="1" applyAlignment="1" applyProtection="1">
      <alignment horizontal="right" vertical="center" indent="1"/>
      <protection hidden="1"/>
    </xf>
    <xf numFmtId="167" fontId="14" fillId="12" borderId="28" xfId="0" applyNumberFormat="1" applyFont="1" applyFill="1" applyBorder="1" applyAlignment="1" applyProtection="1">
      <alignment horizontal="right" vertical="center" indent="1"/>
      <protection hidden="1"/>
    </xf>
    <xf numFmtId="165" fontId="14" fillId="3" borderId="29" xfId="0" applyNumberFormat="1" applyFont="1" applyFill="1" applyBorder="1" applyAlignment="1" applyProtection="1">
      <alignment horizontal="right" vertical="center" indent="1"/>
      <protection hidden="1"/>
    </xf>
    <xf numFmtId="167" fontId="16" fillId="12" borderId="52" xfId="0" applyNumberFormat="1" applyFont="1" applyFill="1" applyBorder="1" applyAlignment="1" applyProtection="1">
      <alignment horizontal="right" vertical="center" indent="1"/>
      <protection hidden="1"/>
    </xf>
    <xf numFmtId="167" fontId="14" fillId="12" borderId="42" xfId="0" applyNumberFormat="1" applyFont="1" applyFill="1" applyBorder="1" applyAlignment="1" applyProtection="1">
      <alignment horizontal="right" vertical="center" indent="1"/>
      <protection hidden="1"/>
    </xf>
    <xf numFmtId="165" fontId="14" fillId="3" borderId="50" xfId="0" applyNumberFormat="1" applyFont="1" applyFill="1" applyBorder="1" applyAlignment="1" applyProtection="1">
      <alignment horizontal="right" vertical="center" indent="1"/>
      <protection hidden="1"/>
    </xf>
    <xf numFmtId="167" fontId="14" fillId="12" borderId="44" xfId="0" applyNumberFormat="1" applyFont="1" applyFill="1" applyBorder="1" applyAlignment="1" applyProtection="1">
      <alignment horizontal="right" vertical="center" indent="1"/>
      <protection hidden="1"/>
    </xf>
    <xf numFmtId="167" fontId="18" fillId="10" borderId="51" xfId="0" applyNumberFormat="1" applyFont="1" applyFill="1" applyBorder="1" applyAlignment="1" applyProtection="1">
      <alignment horizontal="right" vertical="center" indent="1"/>
      <protection hidden="1"/>
    </xf>
    <xf numFmtId="167" fontId="19" fillId="3" borderId="57" xfId="0" applyNumberFormat="1" applyFont="1" applyFill="1" applyBorder="1" applyAlignment="1" applyProtection="1">
      <alignment horizontal="right" vertical="center" indent="1"/>
      <protection hidden="1"/>
    </xf>
    <xf numFmtId="167" fontId="2" fillId="6" borderId="43" xfId="0" applyNumberFormat="1" applyFont="1" applyFill="1" applyBorder="1" applyAlignment="1" applyProtection="1">
      <alignment horizontal="right" vertical="center" indent="1"/>
      <protection hidden="1"/>
    </xf>
    <xf numFmtId="167" fontId="2" fillId="6" borderId="44" xfId="0" applyNumberFormat="1" applyFont="1" applyFill="1" applyBorder="1" applyAlignment="1" applyProtection="1">
      <alignment horizontal="right" vertical="center" indent="1"/>
      <protection hidden="1"/>
    </xf>
    <xf numFmtId="165" fontId="2" fillId="6" borderId="45" xfId="0" applyNumberFormat="1" applyFont="1" applyFill="1" applyBorder="1" applyAlignment="1" applyProtection="1">
      <alignment horizontal="right" vertical="center" indent="1"/>
      <protection hidden="1"/>
    </xf>
    <xf numFmtId="0" fontId="25" fillId="5" borderId="1" xfId="0" applyFont="1" applyFill="1" applyBorder="1" applyAlignment="1" applyProtection="1">
      <alignment horizontal="center" vertical="center"/>
      <protection hidden="1"/>
    </xf>
    <xf numFmtId="0" fontId="13" fillId="3" borderId="0" xfId="0" applyFont="1" applyFill="1" applyAlignment="1" applyProtection="1">
      <alignment horizontal="right" vertical="center"/>
      <protection hidden="1"/>
    </xf>
    <xf numFmtId="0" fontId="3" fillId="3" borderId="29" xfId="0" applyFont="1" applyFill="1" applyBorder="1" applyAlignment="1" applyProtection="1">
      <alignment horizontal="center" vertical="center" wrapText="1"/>
      <protection hidden="1"/>
    </xf>
    <xf numFmtId="0" fontId="0" fillId="14" borderId="53" xfId="0" applyFill="1" applyBorder="1" applyAlignment="1" applyProtection="1">
      <alignment horizontal="left" vertical="center" indent="1"/>
      <protection hidden="1"/>
    </xf>
    <xf numFmtId="0" fontId="3" fillId="14" borderId="51" xfId="0" applyFont="1" applyFill="1" applyBorder="1" applyAlignment="1" applyProtection="1">
      <alignment horizontal="left" vertical="center" indent="1"/>
      <protection hidden="1"/>
    </xf>
    <xf numFmtId="0" fontId="2" fillId="4" borderId="21" xfId="0" applyFont="1" applyFill="1" applyBorder="1" applyAlignment="1" applyProtection="1">
      <alignment horizontal="left" vertical="center" indent="1"/>
      <protection hidden="1"/>
    </xf>
    <xf numFmtId="0" fontId="3" fillId="9" borderId="53" xfId="0" applyFont="1" applyFill="1" applyBorder="1" applyAlignment="1" applyProtection="1">
      <alignment horizontal="center" vertical="center" wrapText="1"/>
      <protection hidden="1"/>
    </xf>
    <xf numFmtId="0" fontId="21" fillId="3" borderId="0" xfId="0" applyFont="1" applyFill="1" applyAlignment="1" applyProtection="1">
      <alignment vertical="center"/>
      <protection hidden="1"/>
    </xf>
    <xf numFmtId="0" fontId="26" fillId="3" borderId="29" xfId="0" applyFont="1" applyFill="1" applyBorder="1" applyAlignment="1" applyProtection="1">
      <alignment horizontal="left" vertical="center" indent="1"/>
      <protection hidden="1"/>
    </xf>
    <xf numFmtId="0" fontId="0" fillId="7" borderId="0" xfId="0" applyFill="1" applyAlignment="1" applyProtection="1">
      <alignment horizontal="center" vertical="center"/>
      <protection hidden="1"/>
    </xf>
    <xf numFmtId="0" fontId="3" fillId="5" borderId="76" xfId="0" applyFont="1" applyFill="1" applyBorder="1" applyAlignment="1" applyProtection="1">
      <alignment horizontal="center" vertical="center" wrapText="1"/>
      <protection locked="0"/>
    </xf>
    <xf numFmtId="0" fontId="29" fillId="9" borderId="0" xfId="0" applyFont="1" applyFill="1" applyAlignment="1" applyProtection="1">
      <alignment horizontal="center" vertical="center" wrapText="1"/>
      <protection hidden="1"/>
    </xf>
    <xf numFmtId="0" fontId="29" fillId="11" borderId="0" xfId="0" applyFont="1" applyFill="1" applyAlignment="1" applyProtection="1">
      <alignment horizontal="center" vertical="center" wrapText="1"/>
      <protection hidden="1"/>
    </xf>
    <xf numFmtId="0" fontId="15" fillId="9" borderId="60" xfId="0" applyFont="1" applyFill="1" applyBorder="1" applyAlignment="1" applyProtection="1">
      <alignment horizontal="center" wrapText="1"/>
      <protection hidden="1"/>
    </xf>
    <xf numFmtId="0" fontId="15" fillId="11" borderId="60" xfId="0" applyFont="1" applyFill="1" applyBorder="1" applyAlignment="1" applyProtection="1">
      <alignment horizontal="center" wrapText="1"/>
      <protection hidden="1"/>
    </xf>
    <xf numFmtId="165" fontId="0" fillId="3" borderId="59" xfId="0" applyNumberFormat="1" applyFill="1" applyBorder="1" applyAlignment="1" applyProtection="1">
      <alignment vertical="center"/>
      <protection hidden="1"/>
    </xf>
    <xf numFmtId="0" fontId="3" fillId="9" borderId="50" xfId="0" applyFont="1" applyFill="1" applyBorder="1" applyAlignment="1" applyProtection="1">
      <alignment horizontal="center" vertical="center"/>
      <protection hidden="1"/>
    </xf>
    <xf numFmtId="167" fontId="14" fillId="5" borderId="49" xfId="0" applyNumberFormat="1" applyFont="1" applyFill="1" applyBorder="1" applyAlignment="1" applyProtection="1">
      <alignment horizontal="right" vertical="center" indent="1"/>
      <protection hidden="1"/>
    </xf>
    <xf numFmtId="0" fontId="3" fillId="5" borderId="0" xfId="0" applyFont="1" applyFill="1" applyAlignment="1" applyProtection="1">
      <alignment vertical="center"/>
      <protection hidden="1"/>
    </xf>
    <xf numFmtId="0" fontId="0" fillId="5" borderId="0" xfId="0" applyFill="1" applyAlignment="1" applyProtection="1">
      <alignment vertical="center"/>
      <protection hidden="1"/>
    </xf>
    <xf numFmtId="0" fontId="0" fillId="5" borderId="0" xfId="0" applyFill="1" applyAlignment="1" applyProtection="1">
      <alignment horizontal="center" vertical="center" wrapText="1"/>
      <protection hidden="1"/>
    </xf>
    <xf numFmtId="167" fontId="14" fillId="5" borderId="54" xfId="0" applyNumberFormat="1" applyFont="1" applyFill="1" applyBorder="1" applyAlignment="1" applyProtection="1">
      <alignment horizontal="right" vertical="center" indent="1"/>
      <protection hidden="1"/>
    </xf>
    <xf numFmtId="10" fontId="0" fillId="7" borderId="0" xfId="1" applyNumberFormat="1" applyFont="1" applyFill="1" applyAlignment="1" applyProtection="1">
      <alignment vertical="center"/>
      <protection hidden="1"/>
    </xf>
    <xf numFmtId="10" fontId="0" fillId="3" borderId="0" xfId="1" applyNumberFormat="1" applyFont="1" applyFill="1" applyAlignment="1" applyProtection="1">
      <alignment vertical="center"/>
      <protection hidden="1"/>
    </xf>
    <xf numFmtId="10" fontId="3" fillId="3" borderId="0" xfId="1" applyNumberFormat="1" applyFont="1" applyFill="1" applyAlignment="1" applyProtection="1">
      <alignment vertical="center"/>
      <protection hidden="1"/>
    </xf>
    <xf numFmtId="10" fontId="0" fillId="3" borderId="0" xfId="1" applyNumberFormat="1" applyFont="1" applyFill="1" applyAlignment="1" applyProtection="1">
      <alignment horizontal="center" vertical="center" wrapText="1"/>
      <protection hidden="1"/>
    </xf>
    <xf numFmtId="0" fontId="0" fillId="9" borderId="89" xfId="0" applyFill="1" applyBorder="1" applyAlignment="1" applyProtection="1">
      <alignment horizontal="left" vertical="center" indent="1"/>
      <protection hidden="1"/>
    </xf>
    <xf numFmtId="0" fontId="0" fillId="9" borderId="61" xfId="0" applyFill="1" applyBorder="1" applyAlignment="1" applyProtection="1">
      <alignment horizontal="left" vertical="center" indent="1"/>
      <protection hidden="1"/>
    </xf>
    <xf numFmtId="167" fontId="14" fillId="3" borderId="62" xfId="0" applyNumberFormat="1" applyFont="1" applyFill="1" applyBorder="1" applyAlignment="1" applyProtection="1">
      <alignment horizontal="right" vertical="center" indent="1"/>
      <protection hidden="1"/>
    </xf>
    <xf numFmtId="167" fontId="14" fillId="12" borderId="62" xfId="0" applyNumberFormat="1" applyFont="1" applyFill="1" applyBorder="1" applyAlignment="1" applyProtection="1">
      <alignment horizontal="right" vertical="center" indent="1"/>
      <protection hidden="1"/>
    </xf>
    <xf numFmtId="165" fontId="14" fillId="3" borderId="89" xfId="0" applyNumberFormat="1" applyFont="1" applyFill="1" applyBorder="1" applyAlignment="1" applyProtection="1">
      <alignment horizontal="right" vertical="center" indent="1"/>
      <protection hidden="1"/>
    </xf>
    <xf numFmtId="167" fontId="2" fillId="6" borderId="45" xfId="0" applyNumberFormat="1" applyFont="1" applyFill="1" applyBorder="1" applyAlignment="1" applyProtection="1">
      <alignment horizontal="right" vertical="center" indent="1"/>
      <protection hidden="1"/>
    </xf>
    <xf numFmtId="0" fontId="25" fillId="5" borderId="90" xfId="0" applyFont="1" applyFill="1" applyBorder="1" applyAlignment="1" applyProtection="1">
      <alignment horizontal="center" vertical="center"/>
      <protection hidden="1"/>
    </xf>
    <xf numFmtId="0" fontId="29" fillId="9" borderId="44" xfId="0" applyFont="1" applyFill="1" applyBorder="1" applyAlignment="1" applyProtection="1">
      <alignment horizontal="center" vertical="center" wrapText="1"/>
      <protection hidden="1"/>
    </xf>
    <xf numFmtId="0" fontId="30" fillId="8" borderId="56" xfId="0" applyFont="1" applyFill="1" applyBorder="1" applyAlignment="1" applyProtection="1">
      <alignment horizontal="left" vertical="center"/>
      <protection hidden="1"/>
    </xf>
    <xf numFmtId="0" fontId="32" fillId="3" borderId="0" xfId="0" applyFont="1" applyFill="1" applyAlignment="1" applyProtection="1">
      <alignment horizontal="left" vertical="center" indent="1"/>
      <protection hidden="1"/>
    </xf>
    <xf numFmtId="0" fontId="33" fillId="3" borderId="0" xfId="0" applyFont="1" applyFill="1" applyAlignment="1" applyProtection="1">
      <alignment horizontal="left" indent="1"/>
      <protection hidden="1"/>
    </xf>
    <xf numFmtId="166" fontId="3" fillId="12" borderId="44" xfId="1" applyNumberFormat="1" applyFont="1" applyFill="1" applyBorder="1" applyAlignment="1" applyProtection="1">
      <alignment horizontal="center" vertical="center"/>
      <protection hidden="1"/>
    </xf>
    <xf numFmtId="166" fontId="3" fillId="12" borderId="42" xfId="1" applyNumberFormat="1" applyFont="1" applyFill="1" applyBorder="1" applyAlignment="1" applyProtection="1">
      <alignment horizontal="center" vertical="center"/>
      <protection hidden="1"/>
    </xf>
    <xf numFmtId="169" fontId="3" fillId="12" borderId="44" xfId="0" applyNumberFormat="1" applyFont="1" applyFill="1" applyBorder="1" applyAlignment="1" applyProtection="1">
      <alignment horizontal="center" vertical="center"/>
      <protection hidden="1"/>
    </xf>
    <xf numFmtId="3" fontId="3" fillId="12" borderId="44" xfId="1" applyNumberFormat="1" applyFont="1" applyFill="1" applyBorder="1" applyAlignment="1" applyProtection="1">
      <alignment horizontal="right" vertical="center" indent="1"/>
      <protection hidden="1"/>
    </xf>
    <xf numFmtId="0" fontId="27" fillId="15" borderId="93" xfId="0" applyFont="1" applyFill="1" applyBorder="1" applyAlignment="1" applyProtection="1">
      <alignment horizontal="center" vertical="center" wrapText="1"/>
      <protection hidden="1"/>
    </xf>
    <xf numFmtId="0" fontId="27" fillId="15" borderId="92" xfId="0" applyFont="1" applyFill="1" applyBorder="1" applyAlignment="1" applyProtection="1">
      <alignment horizontal="center" vertical="center"/>
      <protection hidden="1"/>
    </xf>
    <xf numFmtId="0" fontId="15" fillId="9" borderId="44" xfId="0" applyFont="1" applyFill="1" applyBorder="1" applyAlignment="1" applyProtection="1">
      <alignment horizontal="center" vertical="center" wrapText="1"/>
      <protection hidden="1"/>
    </xf>
    <xf numFmtId="0" fontId="15" fillId="11" borderId="45"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left" vertical="center" indent="1"/>
      <protection hidden="1"/>
    </xf>
    <xf numFmtId="0" fontId="9" fillId="2" borderId="0" xfId="2" applyFill="1" applyAlignment="1" applyProtection="1">
      <alignment horizontal="left" vertical="center" indent="1"/>
      <protection hidden="1"/>
    </xf>
    <xf numFmtId="0" fontId="3" fillId="9" borderId="95" xfId="0" applyFont="1" applyFill="1" applyBorder="1" applyAlignment="1" applyProtection="1">
      <alignment horizontal="center" vertical="center"/>
      <protection hidden="1"/>
    </xf>
    <xf numFmtId="0" fontId="0" fillId="3" borderId="0" xfId="0" applyFill="1" applyAlignment="1" applyProtection="1">
      <alignment horizontal="right" vertical="center" indent="1"/>
      <protection hidden="1"/>
    </xf>
    <xf numFmtId="0" fontId="15" fillId="9" borderId="47" xfId="0" applyFont="1" applyFill="1" applyBorder="1" applyAlignment="1" applyProtection="1">
      <alignment horizontal="center" vertical="center" wrapText="1"/>
      <protection hidden="1"/>
    </xf>
    <xf numFmtId="0" fontId="15" fillId="11" borderId="44" xfId="0" applyFont="1" applyFill="1" applyBorder="1" applyAlignment="1" applyProtection="1">
      <alignment horizontal="center" vertical="center" wrapText="1"/>
      <protection hidden="1"/>
    </xf>
    <xf numFmtId="0" fontId="8" fillId="6" borderId="0" xfId="0" applyFont="1" applyFill="1" applyAlignment="1" applyProtection="1">
      <alignment horizontal="center" vertical="center"/>
      <protection hidden="1"/>
    </xf>
    <xf numFmtId="0" fontId="3" fillId="11" borderId="32" xfId="0" applyFont="1" applyFill="1" applyBorder="1" applyAlignment="1" applyProtection="1">
      <alignment horizontal="center" vertical="center"/>
      <protection hidden="1"/>
    </xf>
    <xf numFmtId="3" fontId="0" fillId="5" borderId="32" xfId="0" applyNumberFormat="1" applyFill="1" applyBorder="1" applyAlignment="1" applyProtection="1">
      <alignment horizontal="right" vertical="center" indent="1"/>
      <protection hidden="1"/>
    </xf>
    <xf numFmtId="166" fontId="0" fillId="5" borderId="32" xfId="0" applyNumberFormat="1" applyFill="1" applyBorder="1" applyAlignment="1" applyProtection="1">
      <alignment horizontal="right" vertical="center" indent="1"/>
      <protection hidden="1"/>
    </xf>
    <xf numFmtId="170" fontId="0" fillId="5" borderId="32" xfId="0" applyNumberFormat="1" applyFill="1" applyBorder="1" applyAlignment="1" applyProtection="1">
      <alignment horizontal="right" vertical="center" indent="1"/>
      <protection hidden="1"/>
    </xf>
    <xf numFmtId="4" fontId="0" fillId="5" borderId="32" xfId="0" applyNumberFormat="1" applyFill="1" applyBorder="1" applyAlignment="1" applyProtection="1">
      <alignment horizontal="right" vertical="center" indent="1"/>
      <protection hidden="1"/>
    </xf>
    <xf numFmtId="166" fontId="0" fillId="5" borderId="32" xfId="1" applyNumberFormat="1" applyFont="1" applyFill="1" applyBorder="1" applyAlignment="1" applyProtection="1">
      <alignment horizontal="right" vertical="center" indent="1"/>
      <protection hidden="1"/>
    </xf>
    <xf numFmtId="10" fontId="0" fillId="5" borderId="32" xfId="0" applyNumberFormat="1" applyFill="1" applyBorder="1" applyAlignment="1" applyProtection="1">
      <alignment horizontal="right" vertical="center" indent="1"/>
      <protection hidden="1"/>
    </xf>
    <xf numFmtId="167" fontId="14" fillId="20" borderId="47" xfId="0" applyNumberFormat="1" applyFont="1" applyFill="1" applyBorder="1" applyAlignment="1" applyProtection="1">
      <alignment horizontal="right" vertical="center" indent="1"/>
      <protection hidden="1"/>
    </xf>
    <xf numFmtId="167" fontId="16" fillId="12" borderId="100" xfId="0" applyNumberFormat="1" applyFont="1" applyFill="1" applyBorder="1" applyAlignment="1" applyProtection="1">
      <alignment horizontal="right" vertical="center" indent="1"/>
      <protection hidden="1"/>
    </xf>
    <xf numFmtId="165" fontId="16" fillId="3" borderId="59" xfId="0" applyNumberFormat="1" applyFont="1" applyFill="1" applyBorder="1" applyAlignment="1" applyProtection="1">
      <alignment horizontal="right" vertical="center" indent="1"/>
      <protection hidden="1"/>
    </xf>
    <xf numFmtId="167" fontId="19" fillId="3" borderId="44" xfId="0" applyNumberFormat="1" applyFont="1" applyFill="1" applyBorder="1" applyAlignment="1" applyProtection="1">
      <alignment horizontal="right" vertical="center" indent="1"/>
      <protection hidden="1"/>
    </xf>
    <xf numFmtId="165" fontId="16" fillId="3" borderId="45" xfId="0" applyNumberFormat="1" applyFont="1" applyFill="1" applyBorder="1" applyAlignment="1" applyProtection="1">
      <alignment horizontal="right" vertical="center" indent="1"/>
      <protection hidden="1"/>
    </xf>
    <xf numFmtId="0" fontId="30" fillId="3" borderId="0" xfId="0" applyFont="1" applyFill="1" applyProtection="1">
      <protection hidden="1"/>
    </xf>
    <xf numFmtId="0" fontId="3" fillId="7" borderId="1" xfId="0" applyFont="1" applyFill="1" applyBorder="1" applyAlignment="1" applyProtection="1">
      <alignment horizontal="center" vertical="center"/>
      <protection hidden="1"/>
    </xf>
    <xf numFmtId="4" fontId="0" fillId="7" borderId="9" xfId="0" applyNumberFormat="1" applyFill="1" applyBorder="1" applyAlignment="1" applyProtection="1">
      <alignment horizontal="right" vertical="center" indent="1"/>
      <protection hidden="1"/>
    </xf>
    <xf numFmtId="0" fontId="0" fillId="7" borderId="10" xfId="0" applyFill="1" applyBorder="1" applyAlignment="1" applyProtection="1">
      <alignment vertical="center"/>
      <protection hidden="1"/>
    </xf>
    <xf numFmtId="10" fontId="3" fillId="7" borderId="16" xfId="1" applyNumberFormat="1" applyFont="1" applyFill="1" applyBorder="1" applyAlignment="1" applyProtection="1">
      <alignment horizontal="right" vertical="center" indent="2"/>
      <protection hidden="1"/>
    </xf>
    <xf numFmtId="10" fontId="3" fillId="7" borderId="15" xfId="1" applyNumberFormat="1" applyFont="1" applyFill="1" applyBorder="1" applyAlignment="1" applyProtection="1">
      <alignment horizontal="right" vertical="center" indent="2"/>
      <protection hidden="1"/>
    </xf>
    <xf numFmtId="0" fontId="0" fillId="3" borderId="105" xfId="0" applyFill="1" applyBorder="1" applyAlignment="1" applyProtection="1">
      <alignment horizontal="left" vertical="center" indent="1"/>
      <protection hidden="1"/>
    </xf>
    <xf numFmtId="0" fontId="0" fillId="0" borderId="54" xfId="0" applyBorder="1" applyAlignment="1" applyProtection="1">
      <alignment horizontal="left" vertical="center" indent="1"/>
      <protection hidden="1"/>
    </xf>
    <xf numFmtId="0" fontId="0" fillId="0" borderId="0" xfId="0" applyAlignment="1" applyProtection="1">
      <alignment horizontal="left" vertical="center" indent="1"/>
      <protection hidden="1"/>
    </xf>
    <xf numFmtId="0" fontId="3" fillId="0" borderId="54" xfId="0" applyFont="1" applyBorder="1" applyAlignment="1" applyProtection="1">
      <alignment horizontal="center" vertical="center"/>
      <protection hidden="1"/>
    </xf>
    <xf numFmtId="0" fontId="0" fillId="5" borderId="54" xfId="0" applyFill="1" applyBorder="1" applyAlignment="1" applyProtection="1">
      <alignment horizontal="left" vertical="center" indent="1"/>
      <protection hidden="1"/>
    </xf>
    <xf numFmtId="0" fontId="3" fillId="0" borderId="0" xfId="0" applyFont="1" applyAlignment="1" applyProtection="1">
      <alignment horizontal="center" vertical="center"/>
      <protection hidden="1"/>
    </xf>
    <xf numFmtId="0" fontId="0" fillId="5" borderId="0" xfId="0" applyFill="1" applyAlignment="1" applyProtection="1">
      <alignment horizontal="left" vertical="center" indent="1"/>
      <protection hidden="1"/>
    </xf>
    <xf numFmtId="167" fontId="16" fillId="3" borderId="1" xfId="0" applyNumberFormat="1" applyFont="1" applyFill="1" applyBorder="1" applyAlignment="1" applyProtection="1">
      <alignment horizontal="center" vertical="center"/>
      <protection locked="0"/>
    </xf>
    <xf numFmtId="4" fontId="0" fillId="0" borderId="31" xfId="0" applyNumberFormat="1" applyBorder="1" applyAlignment="1" applyProtection="1">
      <alignment horizontal="right" vertical="center" indent="1"/>
      <protection hidden="1"/>
    </xf>
    <xf numFmtId="0" fontId="3" fillId="8" borderId="21" xfId="0" applyFont="1" applyFill="1" applyBorder="1" applyAlignment="1" applyProtection="1">
      <alignment horizontal="center" vertical="center"/>
      <protection hidden="1"/>
    </xf>
    <xf numFmtId="0" fontId="3" fillId="8" borderId="30" xfId="0" applyFont="1" applyFill="1" applyBorder="1" applyAlignment="1" applyProtection="1">
      <alignment horizontal="center" vertical="center"/>
      <protection hidden="1"/>
    </xf>
    <xf numFmtId="0" fontId="3" fillId="5" borderId="32" xfId="0" applyFont="1" applyFill="1" applyBorder="1" applyAlignment="1" applyProtection="1">
      <alignment horizontal="center" vertical="center"/>
      <protection hidden="1"/>
    </xf>
    <xf numFmtId="10" fontId="3" fillId="5" borderId="37" xfId="1" applyNumberFormat="1" applyFont="1" applyFill="1" applyBorder="1" applyAlignment="1" applyProtection="1">
      <alignment horizontal="center" vertical="center"/>
      <protection hidden="1"/>
    </xf>
    <xf numFmtId="0" fontId="0" fillId="5" borderId="34" xfId="0" applyFill="1" applyBorder="1" applyAlignment="1" applyProtection="1">
      <alignment horizontal="center" vertical="center"/>
      <protection locked="0"/>
    </xf>
    <xf numFmtId="167" fontId="14" fillId="3" borderId="42" xfId="0" applyNumberFormat="1" applyFont="1" applyFill="1" applyBorder="1" applyAlignment="1" applyProtection="1">
      <alignment horizontal="right" vertical="center" indent="1"/>
      <protection locked="0"/>
    </xf>
    <xf numFmtId="167" fontId="14" fillId="12" borderId="42" xfId="0" applyNumberFormat="1" applyFont="1" applyFill="1" applyBorder="1" applyAlignment="1" applyProtection="1">
      <alignment horizontal="right" vertical="center" indent="1"/>
      <protection locked="0"/>
    </xf>
    <xf numFmtId="167" fontId="14" fillId="3" borderId="44" xfId="0" applyNumberFormat="1" applyFont="1" applyFill="1" applyBorder="1" applyAlignment="1" applyProtection="1">
      <alignment horizontal="right" vertical="center" indent="1"/>
      <protection locked="0"/>
    </xf>
    <xf numFmtId="167" fontId="14" fillId="12" borderId="44" xfId="0" applyNumberFormat="1" applyFont="1" applyFill="1" applyBorder="1" applyAlignment="1" applyProtection="1">
      <alignment horizontal="right" vertical="center" indent="1"/>
      <protection locked="0"/>
    </xf>
    <xf numFmtId="0" fontId="0" fillId="9" borderId="43" xfId="0" applyFill="1" applyBorder="1" applyAlignment="1" applyProtection="1">
      <alignment horizontal="left" vertical="center" indent="1"/>
      <protection locked="0"/>
    </xf>
    <xf numFmtId="0" fontId="0" fillId="9" borderId="45" xfId="0" applyFill="1" applyBorder="1" applyAlignment="1" applyProtection="1">
      <alignment horizontal="left" vertical="center" indent="1"/>
      <protection locked="0"/>
    </xf>
    <xf numFmtId="167" fontId="16" fillId="7" borderId="52" xfId="0" applyNumberFormat="1" applyFont="1" applyFill="1" applyBorder="1" applyAlignment="1" applyProtection="1">
      <alignment horizontal="right" vertical="center" indent="1"/>
      <protection hidden="1"/>
    </xf>
    <xf numFmtId="165" fontId="16" fillId="7" borderId="53" xfId="0" applyNumberFormat="1" applyFont="1" applyFill="1" applyBorder="1" applyAlignment="1" applyProtection="1">
      <alignment horizontal="right" vertical="center" indent="1"/>
      <protection hidden="1"/>
    </xf>
    <xf numFmtId="167" fontId="16" fillId="7" borderId="64" xfId="0" applyNumberFormat="1" applyFont="1" applyFill="1" applyBorder="1" applyAlignment="1" applyProtection="1">
      <alignment horizontal="right" vertical="center" indent="1"/>
      <protection hidden="1"/>
    </xf>
    <xf numFmtId="165" fontId="14" fillId="7" borderId="45" xfId="0" applyNumberFormat="1" applyFont="1" applyFill="1" applyBorder="1" applyAlignment="1" applyProtection="1">
      <alignment horizontal="right" vertical="center" indent="1"/>
      <protection hidden="1"/>
    </xf>
    <xf numFmtId="165" fontId="14" fillId="7" borderId="48" xfId="0" applyNumberFormat="1" applyFont="1" applyFill="1" applyBorder="1" applyAlignment="1" applyProtection="1">
      <alignment horizontal="right" vertical="center" indent="1"/>
      <protection hidden="1"/>
    </xf>
    <xf numFmtId="165" fontId="14" fillId="7" borderId="50" xfId="0" applyNumberFormat="1" applyFont="1" applyFill="1" applyBorder="1" applyAlignment="1" applyProtection="1">
      <alignment horizontal="right" vertical="center" indent="1"/>
      <protection hidden="1"/>
    </xf>
    <xf numFmtId="167" fontId="14" fillId="3" borderId="49" xfId="0" applyNumberFormat="1" applyFont="1" applyFill="1" applyBorder="1" applyAlignment="1" applyProtection="1">
      <alignment horizontal="right" vertical="center" indent="1"/>
      <protection locked="0"/>
    </xf>
    <xf numFmtId="167" fontId="14" fillId="3" borderId="43" xfId="0" applyNumberFormat="1" applyFont="1" applyFill="1" applyBorder="1" applyAlignment="1" applyProtection="1">
      <alignment horizontal="right" vertical="center" indent="1"/>
      <protection locked="0"/>
    </xf>
    <xf numFmtId="167" fontId="14" fillId="3" borderId="46" xfId="0" applyNumberFormat="1" applyFont="1" applyFill="1" applyBorder="1" applyAlignment="1" applyProtection="1">
      <alignment horizontal="right" vertical="center" indent="1"/>
      <protection locked="0"/>
    </xf>
    <xf numFmtId="167" fontId="14" fillId="3" borderId="47" xfId="0" applyNumberFormat="1" applyFont="1" applyFill="1" applyBorder="1" applyAlignment="1" applyProtection="1">
      <alignment horizontal="right" vertical="center" indent="1"/>
      <protection locked="0"/>
    </xf>
    <xf numFmtId="167" fontId="14" fillId="12" borderId="47" xfId="0" applyNumberFormat="1" applyFont="1" applyFill="1" applyBorder="1" applyAlignment="1" applyProtection="1">
      <alignment horizontal="right" vertical="center" indent="1"/>
      <protection locked="0"/>
    </xf>
    <xf numFmtId="0" fontId="0" fillId="9" borderId="48" xfId="0" applyFill="1" applyBorder="1" applyAlignment="1" applyProtection="1">
      <alignment horizontal="left" vertical="center" indent="1"/>
      <protection locked="0"/>
    </xf>
    <xf numFmtId="167" fontId="14" fillId="7" borderId="43" xfId="0" applyNumberFormat="1" applyFont="1" applyFill="1" applyBorder="1" applyAlignment="1" applyProtection="1">
      <alignment horizontal="right" vertical="center" indent="1"/>
      <protection hidden="1"/>
    </xf>
    <xf numFmtId="167" fontId="14" fillId="7" borderId="44" xfId="0" applyNumberFormat="1" applyFont="1" applyFill="1" applyBorder="1" applyAlignment="1" applyProtection="1">
      <alignment horizontal="right" vertical="center" indent="1"/>
      <protection hidden="1"/>
    </xf>
    <xf numFmtId="167" fontId="16" fillId="7" borderId="51" xfId="0" applyNumberFormat="1" applyFont="1" applyFill="1" applyBorder="1" applyAlignment="1" applyProtection="1">
      <alignment horizontal="right" vertical="center" indent="1"/>
      <protection hidden="1"/>
    </xf>
    <xf numFmtId="165" fontId="14" fillId="7" borderId="29" xfId="0" applyNumberFormat="1" applyFont="1" applyFill="1" applyBorder="1" applyAlignment="1" applyProtection="1">
      <alignment horizontal="right" vertical="center" indent="1"/>
      <protection hidden="1"/>
    </xf>
    <xf numFmtId="165" fontId="14" fillId="7" borderId="54" xfId="0" applyNumberFormat="1" applyFont="1" applyFill="1" applyBorder="1" applyAlignment="1" applyProtection="1">
      <alignment horizontal="right" vertical="center" indent="1"/>
      <protection hidden="1"/>
    </xf>
    <xf numFmtId="167" fontId="16" fillId="3" borderId="51" xfId="0" applyNumberFormat="1" applyFont="1" applyFill="1" applyBorder="1" applyAlignment="1" applyProtection="1">
      <alignment horizontal="right" vertical="center" indent="1"/>
      <protection locked="0"/>
    </xf>
    <xf numFmtId="167" fontId="16" fillId="3" borderId="52" xfId="0" applyNumberFormat="1" applyFont="1" applyFill="1" applyBorder="1" applyAlignment="1" applyProtection="1">
      <alignment horizontal="right" vertical="center" indent="1"/>
      <protection locked="0"/>
    </xf>
    <xf numFmtId="167" fontId="16" fillId="12" borderId="52" xfId="0" applyNumberFormat="1" applyFont="1" applyFill="1" applyBorder="1" applyAlignment="1" applyProtection="1">
      <alignment horizontal="right" vertical="center" indent="1"/>
      <protection locked="0"/>
    </xf>
    <xf numFmtId="166" fontId="24" fillId="7" borderId="44" xfId="1" applyNumberFormat="1" applyFont="1" applyFill="1" applyBorder="1" applyAlignment="1" applyProtection="1">
      <alignment horizontal="right" vertical="center" indent="1"/>
      <protection hidden="1"/>
    </xf>
    <xf numFmtId="167" fontId="14" fillId="12" borderId="45" xfId="0" applyNumberFormat="1" applyFont="1" applyFill="1" applyBorder="1" applyAlignment="1" applyProtection="1">
      <alignment horizontal="right" vertical="center" indent="1"/>
      <protection locked="0"/>
    </xf>
    <xf numFmtId="167" fontId="14" fillId="12" borderId="48" xfId="0" applyNumberFormat="1" applyFont="1" applyFill="1" applyBorder="1" applyAlignment="1" applyProtection="1">
      <alignment horizontal="right" vertical="center" indent="1"/>
      <protection locked="0"/>
    </xf>
    <xf numFmtId="167" fontId="17" fillId="3" borderId="52" xfId="0" applyNumberFormat="1" applyFont="1" applyFill="1" applyBorder="1" applyAlignment="1" applyProtection="1">
      <alignment horizontal="right" vertical="center" indent="1"/>
      <protection locked="0"/>
    </xf>
    <xf numFmtId="167" fontId="14" fillId="7" borderId="42" xfId="0" applyNumberFormat="1" applyFont="1" applyFill="1" applyBorder="1" applyAlignment="1" applyProtection="1">
      <alignment horizontal="right" vertical="center" indent="1"/>
      <protection hidden="1"/>
    </xf>
    <xf numFmtId="0" fontId="3" fillId="9" borderId="109" xfId="0" applyFont="1" applyFill="1" applyBorder="1" applyAlignment="1" applyProtection="1">
      <alignment horizontal="center" vertical="center" wrapText="1"/>
      <protection hidden="1"/>
    </xf>
    <xf numFmtId="167" fontId="3" fillId="9" borderId="110" xfId="0" applyNumberFormat="1" applyFont="1" applyFill="1" applyBorder="1" applyAlignment="1" applyProtection="1">
      <alignment horizontal="center" vertical="center" wrapText="1"/>
      <protection hidden="1"/>
    </xf>
    <xf numFmtId="167" fontId="3" fillId="9" borderId="111" xfId="0" applyNumberFormat="1" applyFont="1" applyFill="1" applyBorder="1" applyAlignment="1" applyProtection="1">
      <alignment horizontal="center" vertical="center" wrapText="1"/>
      <protection hidden="1"/>
    </xf>
    <xf numFmtId="0" fontId="0" fillId="5" borderId="106" xfId="0" applyFill="1" applyBorder="1" applyAlignment="1" applyProtection="1">
      <alignment horizontal="left" vertical="center" indent="1"/>
      <protection locked="0"/>
    </xf>
    <xf numFmtId="167" fontId="0" fillId="5" borderId="106" xfId="0" applyNumberFormat="1" applyFill="1" applyBorder="1" applyAlignment="1" applyProtection="1">
      <alignment horizontal="right" vertical="center" indent="1"/>
      <protection locked="0"/>
    </xf>
    <xf numFmtId="14" fontId="0" fillId="5" borderId="106" xfId="0" applyNumberFormat="1" applyFill="1" applyBorder="1" applyAlignment="1" applyProtection="1">
      <alignment horizontal="center" vertical="center"/>
      <protection locked="0"/>
    </xf>
    <xf numFmtId="167" fontId="0" fillId="5" borderId="106" xfId="0" applyNumberFormat="1" applyFill="1" applyBorder="1" applyAlignment="1" applyProtection="1">
      <alignment horizontal="center" vertical="center"/>
      <protection locked="0"/>
    </xf>
    <xf numFmtId="9" fontId="0" fillId="5" borderId="106" xfId="1" applyFont="1" applyFill="1" applyBorder="1" applyAlignment="1" applyProtection="1">
      <alignment horizontal="center" vertical="center"/>
      <protection locked="0"/>
    </xf>
    <xf numFmtId="4" fontId="0" fillId="5" borderId="106" xfId="0" applyNumberFormat="1" applyFill="1" applyBorder="1" applyAlignment="1" applyProtection="1">
      <alignment horizontal="right" vertical="center" indent="1"/>
      <protection locked="0"/>
    </xf>
    <xf numFmtId="0" fontId="0" fillId="5" borderId="107" xfId="0" applyFill="1" applyBorder="1" applyAlignment="1" applyProtection="1">
      <alignment horizontal="left" vertical="center" indent="1"/>
      <protection locked="0"/>
    </xf>
    <xf numFmtId="167" fontId="0" fillId="5" borderId="107" xfId="0" applyNumberFormat="1" applyFill="1" applyBorder="1" applyAlignment="1" applyProtection="1">
      <alignment horizontal="right" vertical="center" indent="1"/>
      <protection locked="0"/>
    </xf>
    <xf numFmtId="14" fontId="0" fillId="5" borderId="107" xfId="0" applyNumberFormat="1" applyFill="1" applyBorder="1" applyAlignment="1" applyProtection="1">
      <alignment horizontal="center" vertical="center"/>
      <protection locked="0"/>
    </xf>
    <xf numFmtId="167" fontId="0" fillId="5" borderId="107" xfId="0" applyNumberFormat="1" applyFill="1" applyBorder="1" applyAlignment="1" applyProtection="1">
      <alignment horizontal="center" vertical="center"/>
      <protection locked="0"/>
    </xf>
    <xf numFmtId="9" fontId="0" fillId="5" borderId="107" xfId="1" applyFont="1" applyFill="1" applyBorder="1" applyAlignment="1" applyProtection="1">
      <alignment horizontal="center" vertical="center"/>
      <protection locked="0"/>
    </xf>
    <xf numFmtId="4" fontId="0" fillId="5" borderId="107" xfId="0" applyNumberFormat="1" applyFill="1" applyBorder="1" applyAlignment="1" applyProtection="1">
      <alignment horizontal="right" vertical="center" indent="1"/>
      <protection locked="0"/>
    </xf>
    <xf numFmtId="0" fontId="0" fillId="5" borderId="108" xfId="0" applyFill="1" applyBorder="1" applyAlignment="1" applyProtection="1">
      <alignment horizontal="left" vertical="center" indent="1"/>
      <protection locked="0"/>
    </xf>
    <xf numFmtId="167" fontId="0" fillId="5" borderId="108" xfId="0" applyNumberFormat="1" applyFill="1" applyBorder="1" applyAlignment="1" applyProtection="1">
      <alignment horizontal="right" vertical="center" indent="1"/>
      <protection locked="0"/>
    </xf>
    <xf numFmtId="14" fontId="0" fillId="5" borderId="108" xfId="0" applyNumberFormat="1" applyFill="1" applyBorder="1" applyAlignment="1" applyProtection="1">
      <alignment horizontal="center" vertical="center"/>
      <protection locked="0"/>
    </xf>
    <xf numFmtId="167" fontId="0" fillId="5" borderId="108" xfId="0" applyNumberFormat="1" applyFill="1" applyBorder="1" applyAlignment="1" applyProtection="1">
      <alignment horizontal="center" vertical="center"/>
      <protection locked="0"/>
    </xf>
    <xf numFmtId="9" fontId="0" fillId="5" borderId="108" xfId="1" applyFont="1" applyFill="1" applyBorder="1" applyAlignment="1" applyProtection="1">
      <alignment horizontal="center" vertical="center"/>
      <protection locked="0"/>
    </xf>
    <xf numFmtId="4" fontId="0" fillId="5" borderId="108" xfId="0" applyNumberFormat="1" applyFill="1" applyBorder="1" applyAlignment="1" applyProtection="1">
      <alignment horizontal="right" vertical="center" indent="1"/>
      <protection locked="0"/>
    </xf>
    <xf numFmtId="167" fontId="16" fillId="3" borderId="112" xfId="0" applyNumberFormat="1" applyFont="1" applyFill="1" applyBorder="1" applyAlignment="1" applyProtection="1">
      <alignment horizontal="right" vertical="center" indent="1"/>
      <protection hidden="1"/>
    </xf>
    <xf numFmtId="0" fontId="3" fillId="9" borderId="32" xfId="0" applyFont="1" applyFill="1" applyBorder="1" applyAlignment="1" applyProtection="1">
      <alignment horizontal="center" vertical="center"/>
      <protection hidden="1"/>
    </xf>
    <xf numFmtId="167" fontId="14" fillId="3" borderId="62" xfId="0" applyNumberFormat="1" applyFont="1" applyFill="1" applyBorder="1" applyAlignment="1" applyProtection="1">
      <alignment horizontal="right" vertical="center" indent="1"/>
      <protection locked="0"/>
    </xf>
    <xf numFmtId="167" fontId="14" fillId="12" borderId="62" xfId="0" applyNumberFormat="1" applyFont="1" applyFill="1" applyBorder="1" applyAlignment="1" applyProtection="1">
      <alignment horizontal="right" vertical="center" indent="1"/>
      <protection locked="0"/>
    </xf>
    <xf numFmtId="0" fontId="0" fillId="9" borderId="66" xfId="0" applyFill="1" applyBorder="1" applyAlignment="1" applyProtection="1">
      <alignment horizontal="left" vertical="center"/>
      <protection locked="0"/>
    </xf>
    <xf numFmtId="0" fontId="0" fillId="9" borderId="113" xfId="0" applyFill="1" applyBorder="1" applyAlignment="1" applyProtection="1">
      <alignment horizontal="left" vertical="center"/>
      <protection locked="0"/>
    </xf>
    <xf numFmtId="0" fontId="0" fillId="9" borderId="56" xfId="0" applyFill="1" applyBorder="1" applyAlignment="1" applyProtection="1">
      <alignment horizontal="left" vertical="center"/>
      <protection locked="0"/>
    </xf>
    <xf numFmtId="0" fontId="0" fillId="9" borderId="75" xfId="0" applyFill="1" applyBorder="1" applyAlignment="1" applyProtection="1">
      <alignment horizontal="left" vertical="center"/>
      <protection locked="0"/>
    </xf>
    <xf numFmtId="0" fontId="0" fillId="9" borderId="96" xfId="0" applyFill="1" applyBorder="1" applyAlignment="1" applyProtection="1">
      <alignment horizontal="left" vertical="center"/>
      <protection locked="0"/>
    </xf>
    <xf numFmtId="0" fontId="0" fillId="9" borderId="114" xfId="0" applyFill="1" applyBorder="1" applyAlignment="1" applyProtection="1">
      <alignment horizontal="left" vertical="center"/>
      <protection locked="0"/>
    </xf>
    <xf numFmtId="167" fontId="14" fillId="3" borderId="61" xfId="0" applyNumberFormat="1" applyFont="1" applyFill="1" applyBorder="1" applyAlignment="1" applyProtection="1">
      <alignment horizontal="right" vertical="center" indent="1"/>
      <protection locked="0"/>
    </xf>
    <xf numFmtId="4" fontId="0" fillId="0" borderId="76" xfId="0" applyNumberFormat="1" applyBorder="1" applyAlignment="1" applyProtection="1">
      <alignment horizontal="right" vertical="center" wrapText="1" indent="1"/>
      <protection locked="0"/>
    </xf>
    <xf numFmtId="0" fontId="0" fillId="0" borderId="76" xfId="0" applyBorder="1" applyAlignment="1" applyProtection="1">
      <alignment horizontal="center" vertical="center" wrapText="1"/>
      <protection locked="0"/>
    </xf>
    <xf numFmtId="0" fontId="0" fillId="0" borderId="76" xfId="0" applyBorder="1" applyAlignment="1" applyProtection="1">
      <alignment horizontal="left" vertical="center" wrapText="1" indent="1"/>
      <protection locked="0"/>
    </xf>
    <xf numFmtId="14" fontId="0" fillId="0" borderId="76" xfId="0" applyNumberFormat="1" applyBorder="1" applyAlignment="1" applyProtection="1">
      <alignment horizontal="center" vertical="center" wrapText="1"/>
      <protection locked="0"/>
    </xf>
    <xf numFmtId="0" fontId="2" fillId="4" borderId="117" xfId="0" applyFont="1" applyFill="1" applyBorder="1" applyAlignment="1" applyProtection="1">
      <alignment horizontal="left" vertical="center" indent="1"/>
      <protection hidden="1"/>
    </xf>
    <xf numFmtId="0" fontId="3" fillId="9" borderId="69" xfId="0" applyFont="1" applyFill="1" applyBorder="1" applyAlignment="1" applyProtection="1">
      <alignment horizontal="left" vertical="center" indent="1"/>
      <protection locked="0"/>
    </xf>
    <xf numFmtId="167" fontId="0" fillId="8" borderId="44" xfId="0" applyNumberFormat="1" applyFill="1" applyBorder="1" applyAlignment="1" applyProtection="1">
      <alignment horizontal="right" vertical="center" indent="1"/>
      <protection locked="0"/>
    </xf>
    <xf numFmtId="167" fontId="0" fillId="8" borderId="70" xfId="0" applyNumberFormat="1" applyFill="1" applyBorder="1" applyAlignment="1" applyProtection="1">
      <alignment horizontal="center" vertical="center"/>
      <protection locked="0"/>
    </xf>
    <xf numFmtId="167" fontId="0" fillId="8" borderId="44" xfId="0" applyNumberFormat="1" applyFill="1" applyBorder="1" applyAlignment="1" applyProtection="1">
      <alignment horizontal="left" vertical="center" indent="1"/>
      <protection locked="0"/>
    </xf>
    <xf numFmtId="0" fontId="3" fillId="9" borderId="115" xfId="0" applyFont="1" applyFill="1" applyBorder="1" applyAlignment="1" applyProtection="1">
      <alignment horizontal="left" vertical="center" indent="1"/>
      <protection locked="0"/>
    </xf>
    <xf numFmtId="167" fontId="0" fillId="8" borderId="62" xfId="0" applyNumberFormat="1" applyFill="1" applyBorder="1" applyAlignment="1" applyProtection="1">
      <alignment horizontal="right" vertical="center" indent="1"/>
      <protection locked="0"/>
    </xf>
    <xf numFmtId="167" fontId="0" fillId="8" borderId="116" xfId="0" applyNumberFormat="1" applyFill="1" applyBorder="1" applyAlignment="1" applyProtection="1">
      <alignment horizontal="center" vertical="center"/>
      <protection locked="0"/>
    </xf>
    <xf numFmtId="0" fontId="0" fillId="3" borderId="0" xfId="0" applyFill="1" applyAlignment="1" applyProtection="1">
      <alignment vertical="center"/>
      <protection locked="0"/>
    </xf>
    <xf numFmtId="3" fontId="0" fillId="24" borderId="119" xfId="0" applyNumberFormat="1" applyFill="1" applyBorder="1" applyAlignment="1" applyProtection="1">
      <alignment horizontal="right" vertical="center" indent="3"/>
      <protection locked="0"/>
    </xf>
    <xf numFmtId="10" fontId="0" fillId="24" borderId="120" xfId="1" applyNumberFormat="1" applyFont="1" applyFill="1" applyBorder="1" applyAlignment="1" applyProtection="1">
      <alignment horizontal="center" vertical="center"/>
      <protection locked="0"/>
    </xf>
    <xf numFmtId="3" fontId="0" fillId="24" borderId="120" xfId="0" applyNumberFormat="1" applyFill="1" applyBorder="1" applyAlignment="1" applyProtection="1">
      <alignment horizontal="right" vertical="center" indent="1"/>
      <protection locked="0"/>
    </xf>
    <xf numFmtId="3" fontId="0" fillId="24" borderId="121" xfId="1" applyNumberFormat="1" applyFont="1" applyFill="1" applyBorder="1" applyAlignment="1" applyProtection="1">
      <alignment horizontal="right" vertical="center" indent="1"/>
      <protection locked="0"/>
    </xf>
    <xf numFmtId="3" fontId="0" fillId="24" borderId="122" xfId="0" applyNumberFormat="1" applyFill="1" applyBorder="1" applyAlignment="1" applyProtection="1">
      <alignment horizontal="right" vertical="center" indent="3"/>
      <protection locked="0"/>
    </xf>
    <xf numFmtId="10" fontId="0" fillId="24" borderId="123" xfId="1" applyNumberFormat="1" applyFont="1" applyFill="1" applyBorder="1" applyAlignment="1" applyProtection="1">
      <alignment horizontal="center" vertical="center"/>
      <protection locked="0"/>
    </xf>
    <xf numFmtId="3" fontId="0" fillId="24" borderId="123" xfId="0" applyNumberFormat="1" applyFill="1" applyBorder="1" applyAlignment="1" applyProtection="1">
      <alignment horizontal="right" vertical="center" indent="1"/>
      <protection locked="0"/>
    </xf>
    <xf numFmtId="3" fontId="0" fillId="24" borderId="124" xfId="1" applyNumberFormat="1" applyFont="1" applyFill="1" applyBorder="1" applyAlignment="1" applyProtection="1">
      <alignment horizontal="right" vertical="center" indent="1"/>
      <protection locked="0"/>
    </xf>
    <xf numFmtId="3" fontId="0" fillId="24" borderId="122" xfId="0" applyNumberFormat="1" applyFill="1" applyBorder="1" applyAlignment="1" applyProtection="1">
      <alignment horizontal="right" vertical="center" indent="1"/>
      <protection locked="0"/>
    </xf>
    <xf numFmtId="3" fontId="0" fillId="24" borderId="125" xfId="0" applyNumberFormat="1" applyFill="1" applyBorder="1" applyAlignment="1" applyProtection="1">
      <alignment horizontal="right" vertical="center" indent="3"/>
      <protection locked="0"/>
    </xf>
    <xf numFmtId="10" fontId="0" fillId="24" borderId="126" xfId="1" applyNumberFormat="1" applyFont="1" applyFill="1" applyBorder="1" applyAlignment="1" applyProtection="1">
      <alignment horizontal="center" vertical="center"/>
      <protection locked="0"/>
    </xf>
    <xf numFmtId="3" fontId="0" fillId="24" borderId="126" xfId="0" applyNumberFormat="1" applyFill="1" applyBorder="1" applyAlignment="1" applyProtection="1">
      <alignment horizontal="right" vertical="center" indent="1"/>
      <protection locked="0"/>
    </xf>
    <xf numFmtId="3" fontId="0" fillId="24" borderId="127" xfId="1" applyNumberFormat="1" applyFont="1" applyFill="1" applyBorder="1" applyAlignment="1" applyProtection="1">
      <alignment horizontal="right" vertical="center" indent="1"/>
      <protection locked="0"/>
    </xf>
    <xf numFmtId="167" fontId="0" fillId="24" borderId="128" xfId="0" applyNumberFormat="1" applyFill="1" applyBorder="1" applyAlignment="1" applyProtection="1">
      <alignment horizontal="center" vertical="center"/>
      <protection locked="0"/>
    </xf>
    <xf numFmtId="167" fontId="0" fillId="24" borderId="129" xfId="0" applyNumberFormat="1" applyFill="1" applyBorder="1" applyAlignment="1" applyProtection="1">
      <alignment horizontal="center" vertical="center"/>
      <protection locked="0"/>
    </xf>
    <xf numFmtId="167" fontId="0" fillId="24" borderId="130" xfId="0" applyNumberFormat="1" applyFill="1" applyBorder="1" applyAlignment="1" applyProtection="1">
      <alignment horizontal="center" vertical="center"/>
      <protection locked="0"/>
    </xf>
    <xf numFmtId="167" fontId="3" fillId="8" borderId="125" xfId="0" applyNumberFormat="1" applyFont="1" applyFill="1" applyBorder="1" applyAlignment="1" applyProtection="1">
      <alignment horizontal="center" vertical="center" wrapText="1"/>
      <protection hidden="1"/>
    </xf>
    <xf numFmtId="167" fontId="3" fillId="8" borderId="126" xfId="0" applyNumberFormat="1" applyFont="1" applyFill="1" applyBorder="1" applyAlignment="1" applyProtection="1">
      <alignment horizontal="center" vertical="center" wrapText="1"/>
      <protection hidden="1"/>
    </xf>
    <xf numFmtId="167" fontId="3" fillId="8" borderId="127" xfId="0" applyNumberFormat="1" applyFont="1" applyFill="1" applyBorder="1" applyAlignment="1" applyProtection="1">
      <alignment horizontal="center" vertical="center" wrapText="1"/>
      <protection hidden="1"/>
    </xf>
    <xf numFmtId="0" fontId="20" fillId="10" borderId="76" xfId="0" applyFont="1" applyFill="1" applyBorder="1" applyAlignment="1" applyProtection="1">
      <alignment horizontal="center" vertical="center" wrapText="1"/>
      <protection hidden="1"/>
    </xf>
    <xf numFmtId="0" fontId="0" fillId="0" borderId="78" xfId="0" applyBorder="1" applyAlignment="1" applyProtection="1">
      <alignment horizontal="left" vertical="center" wrapText="1" indent="1"/>
      <protection locked="0"/>
    </xf>
    <xf numFmtId="0" fontId="0" fillId="0" borderId="79" xfId="0" applyBorder="1" applyAlignment="1" applyProtection="1">
      <alignment horizontal="left" vertical="center" wrapText="1" indent="1"/>
      <protection locked="0"/>
    </xf>
    <xf numFmtId="0" fontId="0" fillId="0" borderId="80" xfId="0" applyBorder="1" applyAlignment="1" applyProtection="1">
      <alignment horizontal="left" vertical="center" wrapText="1" indent="1"/>
      <protection locked="0"/>
    </xf>
    <xf numFmtId="0" fontId="3" fillId="16" borderId="76" xfId="0" applyFont="1" applyFill="1" applyBorder="1" applyAlignment="1" applyProtection="1">
      <alignment horizontal="center" vertical="center" wrapText="1"/>
      <protection hidden="1"/>
    </xf>
    <xf numFmtId="0" fontId="0" fillId="0" borderId="82" xfId="0" applyBorder="1" applyAlignment="1" applyProtection="1">
      <alignment horizontal="left" vertical="center" wrapText="1" indent="1"/>
      <protection locked="0"/>
    </xf>
    <xf numFmtId="0" fontId="3" fillId="0" borderId="76" xfId="0" applyFont="1" applyBorder="1" applyAlignment="1" applyProtection="1">
      <alignment horizontal="center" vertical="center" wrapText="1"/>
      <protection locked="0"/>
    </xf>
    <xf numFmtId="167" fontId="14" fillId="20" borderId="42" xfId="0" applyNumberFormat="1" applyFont="1" applyFill="1" applyBorder="1" applyAlignment="1" applyProtection="1">
      <alignment horizontal="right" vertical="center" indent="1"/>
      <protection locked="0"/>
    </xf>
    <xf numFmtId="167" fontId="14" fillId="20" borderId="44" xfId="0" applyNumberFormat="1" applyFont="1" applyFill="1" applyBorder="1" applyAlignment="1" applyProtection="1">
      <alignment horizontal="right" vertical="center" indent="1"/>
      <protection locked="0"/>
    </xf>
    <xf numFmtId="167" fontId="16" fillId="18" borderId="52" xfId="0" applyNumberFormat="1" applyFont="1" applyFill="1" applyBorder="1" applyAlignment="1" applyProtection="1">
      <alignment horizontal="right" vertical="center" indent="1"/>
      <protection hidden="1"/>
    </xf>
    <xf numFmtId="0" fontId="0" fillId="9" borderId="42" xfId="0" applyFill="1" applyBorder="1" applyAlignment="1" applyProtection="1">
      <alignment horizontal="right" vertical="center" indent="1"/>
      <protection locked="0"/>
    </xf>
    <xf numFmtId="0" fontId="0" fillId="9" borderId="49" xfId="0" applyFill="1" applyBorder="1" applyAlignment="1" applyProtection="1">
      <alignment horizontal="left" vertical="center" indent="1"/>
      <protection locked="0"/>
    </xf>
    <xf numFmtId="0" fontId="0" fillId="9" borderId="44" xfId="0" applyFill="1" applyBorder="1" applyAlignment="1" applyProtection="1">
      <alignment horizontal="right" vertical="center" indent="1"/>
      <protection locked="0"/>
    </xf>
    <xf numFmtId="0" fontId="13" fillId="9" borderId="44" xfId="0" applyFont="1" applyFill="1" applyBorder="1" applyAlignment="1" applyProtection="1">
      <alignment horizontal="right" vertical="center" indent="1"/>
      <protection locked="0"/>
    </xf>
    <xf numFmtId="0" fontId="13" fillId="9" borderId="43" xfId="0" applyFont="1" applyFill="1" applyBorder="1" applyAlignment="1" applyProtection="1">
      <alignment horizontal="left" vertical="center" indent="1"/>
      <protection locked="0"/>
    </xf>
    <xf numFmtId="2" fontId="3" fillId="7" borderId="37" xfId="0" applyNumberFormat="1" applyFont="1" applyFill="1" applyBorder="1" applyAlignment="1" applyProtection="1">
      <alignment horizontal="left" vertical="center" indent="1"/>
      <protection hidden="1"/>
    </xf>
    <xf numFmtId="169" fontId="14" fillId="3" borderId="43" xfId="0" applyNumberFormat="1" applyFont="1" applyFill="1" applyBorder="1" applyAlignment="1">
      <alignment horizontal="right" vertical="center" indent="1"/>
    </xf>
    <xf numFmtId="169" fontId="14" fillId="3" borderId="44" xfId="0" applyNumberFormat="1" applyFont="1" applyFill="1" applyBorder="1" applyAlignment="1">
      <alignment horizontal="right" vertical="center" indent="1"/>
    </xf>
    <xf numFmtId="169" fontId="14" fillId="12" borderId="44" xfId="0" applyNumberFormat="1" applyFont="1" applyFill="1" applyBorder="1" applyAlignment="1">
      <alignment horizontal="right" vertical="center" indent="1"/>
    </xf>
    <xf numFmtId="166" fontId="14" fillId="3" borderId="43" xfId="1" applyNumberFormat="1" applyFont="1" applyFill="1" applyBorder="1" applyAlignment="1" applyProtection="1">
      <alignment horizontal="right" vertical="center" indent="1"/>
    </xf>
    <xf numFmtId="166" fontId="14" fillId="3" borderId="44" xfId="1" applyNumberFormat="1" applyFont="1" applyFill="1" applyBorder="1" applyAlignment="1" applyProtection="1">
      <alignment horizontal="right" vertical="center" indent="1"/>
    </xf>
    <xf numFmtId="166" fontId="14" fillId="12" borderId="44" xfId="1" applyNumberFormat="1" applyFont="1" applyFill="1" applyBorder="1" applyAlignment="1" applyProtection="1">
      <alignment horizontal="right" vertical="center" indent="1"/>
    </xf>
    <xf numFmtId="167" fontId="14" fillId="3" borderId="43" xfId="0" applyNumberFormat="1" applyFont="1" applyFill="1" applyBorder="1" applyAlignment="1">
      <alignment horizontal="right" vertical="center" indent="1"/>
    </xf>
    <xf numFmtId="167" fontId="14" fillId="3" borderId="44" xfId="0" applyNumberFormat="1" applyFont="1" applyFill="1" applyBorder="1" applyAlignment="1">
      <alignment horizontal="right" vertical="center" indent="1"/>
    </xf>
    <xf numFmtId="167" fontId="14" fillId="12" borderId="44" xfId="0" applyNumberFormat="1" applyFont="1" applyFill="1" applyBorder="1" applyAlignment="1">
      <alignment horizontal="right" vertical="center" indent="1"/>
    </xf>
    <xf numFmtId="0" fontId="34" fillId="18" borderId="44" xfId="0" applyFont="1" applyFill="1" applyBorder="1" applyAlignment="1" applyProtection="1">
      <alignment horizontal="center" vertical="center" wrapText="1"/>
      <protection hidden="1"/>
    </xf>
    <xf numFmtId="0" fontId="15" fillId="19" borderId="44" xfId="0" applyFont="1" applyFill="1" applyBorder="1" applyAlignment="1" applyProtection="1">
      <alignment horizontal="center" vertical="center" wrapText="1"/>
      <protection hidden="1"/>
    </xf>
    <xf numFmtId="0" fontId="3" fillId="3" borderId="54" xfId="0" applyFont="1" applyFill="1" applyBorder="1" applyAlignment="1" applyProtection="1">
      <alignment horizontal="left" vertical="center" indent="1"/>
      <protection hidden="1"/>
    </xf>
    <xf numFmtId="0" fontId="3" fillId="9" borderId="44" xfId="0" applyFont="1" applyFill="1" applyBorder="1" applyAlignment="1" applyProtection="1">
      <alignment horizontal="left" vertical="center" indent="1"/>
      <protection hidden="1"/>
    </xf>
    <xf numFmtId="167" fontId="0" fillId="20" borderId="49" xfId="0" applyNumberFormat="1" applyFill="1" applyBorder="1" applyAlignment="1" applyProtection="1">
      <alignment horizontal="center" vertical="center"/>
      <protection locked="0"/>
    </xf>
    <xf numFmtId="167" fontId="0" fillId="20" borderId="43" xfId="0" applyNumberFormat="1" applyFill="1" applyBorder="1" applyAlignment="1" applyProtection="1">
      <alignment horizontal="center" vertical="center"/>
      <protection locked="0"/>
    </xf>
    <xf numFmtId="167" fontId="0" fillId="17" borderId="43" xfId="0" applyNumberFormat="1" applyFill="1" applyBorder="1" applyAlignment="1" applyProtection="1">
      <alignment horizontal="center" vertical="center"/>
      <protection locked="0"/>
    </xf>
    <xf numFmtId="164" fontId="0" fillId="17" borderId="43" xfId="0" applyNumberFormat="1" applyFill="1" applyBorder="1" applyAlignment="1" applyProtection="1">
      <alignment horizontal="center" vertical="center"/>
      <protection locked="0"/>
    </xf>
    <xf numFmtId="169" fontId="0" fillId="17" borderId="43" xfId="0" applyNumberFormat="1" applyFill="1" applyBorder="1" applyAlignment="1" applyProtection="1">
      <alignment horizontal="center" vertical="center"/>
      <protection locked="0"/>
    </xf>
    <xf numFmtId="10" fontId="0" fillId="17" borderId="43" xfId="1" applyNumberFormat="1" applyFont="1" applyFill="1" applyBorder="1" applyAlignment="1" applyProtection="1">
      <alignment horizontal="center" vertical="center"/>
      <protection locked="0"/>
    </xf>
    <xf numFmtId="10" fontId="0" fillId="20" borderId="43" xfId="1" applyNumberFormat="1" applyFont="1" applyFill="1" applyBorder="1" applyAlignment="1" applyProtection="1">
      <alignment horizontal="center" vertical="center"/>
      <protection locked="0"/>
    </xf>
    <xf numFmtId="3" fontId="3" fillId="7" borderId="43" xfId="1" applyNumberFormat="1" applyFont="1" applyFill="1" applyBorder="1" applyAlignment="1" applyProtection="1">
      <alignment horizontal="right" vertical="center" indent="1"/>
      <protection hidden="1"/>
    </xf>
    <xf numFmtId="3" fontId="3" fillId="7" borderId="44" xfId="1" applyNumberFormat="1" applyFont="1" applyFill="1" applyBorder="1" applyAlignment="1" applyProtection="1">
      <alignment horizontal="right" vertical="center" indent="1"/>
      <protection hidden="1"/>
    </xf>
    <xf numFmtId="166" fontId="3" fillId="7" borderId="43" xfId="1" applyNumberFormat="1" applyFont="1" applyFill="1" applyBorder="1" applyAlignment="1" applyProtection="1">
      <alignment horizontal="center" vertical="center"/>
      <protection hidden="1"/>
    </xf>
    <xf numFmtId="166" fontId="3" fillId="7" borderId="44" xfId="1" applyNumberFormat="1" applyFont="1" applyFill="1" applyBorder="1" applyAlignment="1" applyProtection="1">
      <alignment horizontal="center" vertical="center"/>
      <protection hidden="1"/>
    </xf>
    <xf numFmtId="166" fontId="3" fillId="7" borderId="49" xfId="1" applyNumberFormat="1" applyFont="1" applyFill="1" applyBorder="1" applyAlignment="1" applyProtection="1">
      <alignment horizontal="center" vertical="center"/>
      <protection hidden="1"/>
    </xf>
    <xf numFmtId="166" fontId="3" fillId="7" borderId="42" xfId="1" applyNumberFormat="1" applyFont="1" applyFill="1" applyBorder="1" applyAlignment="1" applyProtection="1">
      <alignment horizontal="center" vertical="center"/>
      <protection hidden="1"/>
    </xf>
    <xf numFmtId="169" fontId="3" fillId="7" borderId="43" xfId="0" applyNumberFormat="1" applyFont="1" applyFill="1" applyBorder="1" applyAlignment="1" applyProtection="1">
      <alignment horizontal="center" vertical="center"/>
      <protection hidden="1"/>
    </xf>
    <xf numFmtId="169" fontId="3" fillId="7" borderId="44" xfId="0" applyNumberFormat="1" applyFont="1" applyFill="1" applyBorder="1" applyAlignment="1" applyProtection="1">
      <alignment horizontal="center" vertical="center"/>
      <protection hidden="1"/>
    </xf>
    <xf numFmtId="0" fontId="20" fillId="22" borderId="0" xfId="0" applyFont="1" applyFill="1" applyAlignment="1">
      <alignment horizontal="left" vertical="center" indent="1"/>
    </xf>
    <xf numFmtId="0" fontId="0" fillId="3" borderId="0" xfId="0" applyFill="1" applyAlignment="1">
      <alignment horizontal="left" vertical="center" indent="1"/>
    </xf>
    <xf numFmtId="0" fontId="9" fillId="24" borderId="1" xfId="2" applyFill="1" applyBorder="1" applyAlignment="1">
      <alignment horizontal="left" vertical="center" indent="1"/>
    </xf>
    <xf numFmtId="0" fontId="0" fillId="0" borderId="0" xfId="0" applyProtection="1">
      <protection locked="0"/>
    </xf>
    <xf numFmtId="0" fontId="0" fillId="7" borderId="0" xfId="0" applyFill="1" applyAlignment="1" applyProtection="1">
      <alignment vertical="center"/>
      <protection locked="0"/>
    </xf>
    <xf numFmtId="167" fontId="0" fillId="7" borderId="0" xfId="0" applyNumberFormat="1" applyFill="1" applyAlignment="1" applyProtection="1">
      <alignment vertical="center"/>
      <protection locked="0"/>
    </xf>
    <xf numFmtId="168" fontId="0" fillId="7" borderId="0" xfId="1" applyNumberFormat="1" applyFont="1" applyFill="1" applyAlignment="1" applyProtection="1">
      <alignment vertical="center"/>
      <protection locked="0"/>
    </xf>
    <xf numFmtId="165" fontId="0" fillId="3" borderId="0" xfId="0" applyNumberFormat="1" applyFill="1" applyAlignment="1" applyProtection="1">
      <alignment vertical="center"/>
      <protection locked="0"/>
    </xf>
    <xf numFmtId="0" fontId="0" fillId="0" borderId="0" xfId="0" applyAlignment="1" applyProtection="1">
      <alignment vertical="center"/>
      <protection locked="0"/>
    </xf>
    <xf numFmtId="1"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10" fontId="0" fillId="0" borderId="0" xfId="0" applyNumberFormat="1" applyAlignment="1" applyProtection="1">
      <alignment vertical="center"/>
      <protection locked="0"/>
    </xf>
    <xf numFmtId="0" fontId="3" fillId="20" borderId="18" xfId="0" applyFont="1" applyFill="1" applyBorder="1" applyAlignment="1" applyProtection="1">
      <alignment horizontal="center" vertical="center"/>
      <protection locked="0"/>
    </xf>
    <xf numFmtId="167" fontId="16" fillId="20" borderId="64" xfId="0" applyNumberFormat="1" applyFont="1" applyFill="1" applyBorder="1" applyAlignment="1" applyProtection="1">
      <alignment horizontal="right" vertical="center" indent="1"/>
      <protection locked="0"/>
    </xf>
    <xf numFmtId="167" fontId="16" fillId="18" borderId="100" xfId="0" applyNumberFormat="1" applyFont="1" applyFill="1" applyBorder="1" applyAlignment="1" applyProtection="1">
      <alignment horizontal="right" vertical="center" indent="1"/>
      <protection locked="0"/>
    </xf>
    <xf numFmtId="167" fontId="14" fillId="7" borderId="45" xfId="0" applyNumberFormat="1" applyFont="1" applyFill="1" applyBorder="1" applyAlignment="1" applyProtection="1">
      <alignment horizontal="right" vertical="center" indent="1"/>
      <protection hidden="1"/>
    </xf>
    <xf numFmtId="167" fontId="16" fillId="7" borderId="53" xfId="0" applyNumberFormat="1" applyFont="1" applyFill="1" applyBorder="1" applyAlignment="1" applyProtection="1">
      <alignment horizontal="right" vertical="center" indent="1"/>
      <protection hidden="1"/>
    </xf>
    <xf numFmtId="167" fontId="14" fillId="3" borderId="45" xfId="0" applyNumberFormat="1" applyFont="1" applyFill="1" applyBorder="1" applyAlignment="1" applyProtection="1">
      <alignment horizontal="right" vertical="center" indent="1"/>
      <protection locked="0"/>
    </xf>
    <xf numFmtId="167" fontId="14" fillId="3" borderId="48" xfId="0" applyNumberFormat="1" applyFont="1" applyFill="1" applyBorder="1" applyAlignment="1" applyProtection="1">
      <alignment horizontal="right" vertical="center" indent="1"/>
      <protection locked="0"/>
    </xf>
    <xf numFmtId="167" fontId="14" fillId="3" borderId="50" xfId="0" applyNumberFormat="1" applyFont="1" applyFill="1" applyBorder="1" applyAlignment="1" applyProtection="1">
      <alignment horizontal="right" vertical="center" indent="1"/>
      <protection hidden="1"/>
    </xf>
    <xf numFmtId="167" fontId="14" fillId="3" borderId="45" xfId="0" applyNumberFormat="1" applyFont="1" applyFill="1" applyBorder="1" applyAlignment="1" applyProtection="1">
      <alignment horizontal="right" vertical="center" indent="1"/>
      <protection hidden="1"/>
    </xf>
    <xf numFmtId="167" fontId="16" fillId="3" borderId="29" xfId="0" applyNumberFormat="1" applyFont="1" applyFill="1" applyBorder="1" applyAlignment="1" applyProtection="1">
      <alignment horizontal="right" vertical="center" indent="1"/>
      <protection hidden="1"/>
    </xf>
    <xf numFmtId="0" fontId="0" fillId="5" borderId="0" xfId="0" applyFill="1"/>
    <xf numFmtId="0" fontId="3" fillId="25" borderId="44" xfId="0" applyFont="1" applyFill="1" applyBorder="1" applyAlignment="1">
      <alignment vertical="center"/>
    </xf>
    <xf numFmtId="0" fontId="3" fillId="5" borderId="0" xfId="0" applyFont="1" applyFill="1"/>
    <xf numFmtId="9" fontId="0" fillId="5" borderId="0" xfId="1" applyFont="1" applyFill="1"/>
    <xf numFmtId="0" fontId="20" fillId="10" borderId="0" xfId="0" applyFont="1" applyFill="1" applyAlignment="1" applyProtection="1">
      <alignment horizontal="left" vertical="center" indent="1"/>
      <protection hidden="1"/>
    </xf>
    <xf numFmtId="0" fontId="21" fillId="10" borderId="0" xfId="0" applyFont="1" applyFill="1" applyAlignment="1" applyProtection="1">
      <alignment horizontal="left" vertical="center" indent="1"/>
      <protection hidden="1"/>
    </xf>
    <xf numFmtId="0" fontId="21" fillId="0" borderId="0" xfId="0" applyFont="1" applyAlignment="1" applyProtection="1">
      <alignment horizontal="left" vertical="center" indent="1"/>
      <protection hidden="1"/>
    </xf>
    <xf numFmtId="2" fontId="3" fillId="7" borderId="38" xfId="0" applyNumberFormat="1" applyFont="1" applyFill="1" applyBorder="1" applyAlignment="1" applyProtection="1">
      <alignment horizontal="left" vertical="center" indent="1"/>
      <protection hidden="1"/>
    </xf>
    <xf numFmtId="0" fontId="0" fillId="7" borderId="39" xfId="0" applyFill="1" applyBorder="1" applyAlignment="1" applyProtection="1">
      <alignment horizontal="left" vertical="center" indent="1"/>
      <protection hidden="1"/>
    </xf>
    <xf numFmtId="0" fontId="0" fillId="7" borderId="41" xfId="0" applyFill="1" applyBorder="1" applyAlignment="1" applyProtection="1">
      <alignment horizontal="left" vertical="center" indent="1"/>
      <protection hidden="1"/>
    </xf>
    <xf numFmtId="0" fontId="8" fillId="6" borderId="0" xfId="0" applyFont="1" applyFill="1" applyAlignment="1" applyProtection="1">
      <alignment horizontal="left" vertical="center" indent="1"/>
      <protection hidden="1"/>
    </xf>
    <xf numFmtId="0" fontId="0" fillId="0" borderId="0" xfId="0" applyAlignment="1" applyProtection="1">
      <alignment horizontal="left" vertical="center" indent="1"/>
      <protection hidden="1"/>
    </xf>
    <xf numFmtId="0" fontId="2" fillId="4" borderId="50" xfId="0" applyFont="1" applyFill="1" applyBorder="1" applyAlignment="1" applyProtection="1">
      <alignment horizontal="left" vertical="center" indent="1"/>
      <protection hidden="1"/>
    </xf>
    <xf numFmtId="0" fontId="0" fillId="0" borderId="54" xfId="0" applyBorder="1" applyAlignment="1" applyProtection="1">
      <alignment horizontal="left" vertical="center" indent="1"/>
      <protection hidden="1"/>
    </xf>
    <xf numFmtId="0" fontId="2" fillId="4" borderId="45" xfId="0" applyFont="1" applyFill="1" applyBorder="1" applyAlignment="1" applyProtection="1">
      <alignment horizontal="left" vertical="center" indent="1"/>
      <protection hidden="1"/>
    </xf>
    <xf numFmtId="0" fontId="0" fillId="0" borderId="56" xfId="0" applyBorder="1" applyAlignment="1" applyProtection="1">
      <alignment horizontal="left" vertical="center" indent="1"/>
      <protection hidden="1"/>
    </xf>
    <xf numFmtId="0" fontId="2" fillId="4" borderId="55" xfId="0" applyFont="1" applyFill="1" applyBorder="1" applyAlignment="1" applyProtection="1">
      <alignment horizontal="left" vertical="center" indent="1"/>
      <protection hidden="1"/>
    </xf>
    <xf numFmtId="0" fontId="0" fillId="5" borderId="12" xfId="0" applyFill="1" applyBorder="1" applyAlignment="1" applyProtection="1">
      <alignment horizontal="center" vertical="center" wrapText="1"/>
      <protection locked="0"/>
    </xf>
    <xf numFmtId="0" fontId="0" fillId="5" borderId="14" xfId="0" applyFill="1" applyBorder="1" applyAlignment="1" applyProtection="1">
      <alignment horizontal="center" vertical="center" wrapText="1"/>
      <protection locked="0"/>
    </xf>
    <xf numFmtId="0" fontId="0" fillId="5" borderId="101" xfId="0" applyFill="1" applyBorder="1" applyAlignment="1" applyProtection="1">
      <alignment horizontal="center" vertical="center" wrapText="1"/>
      <protection locked="0"/>
    </xf>
    <xf numFmtId="0" fontId="0" fillId="5" borderId="26" xfId="0" applyFill="1" applyBorder="1" applyAlignment="1" applyProtection="1">
      <alignment horizontal="center" vertical="center" wrapText="1"/>
      <protection locked="0"/>
    </xf>
    <xf numFmtId="0" fontId="0" fillId="5" borderId="0" xfId="0" applyFill="1" applyAlignment="1" applyProtection="1">
      <alignment horizontal="center" vertical="center" wrapText="1"/>
      <protection locked="0"/>
    </xf>
    <xf numFmtId="0" fontId="0" fillId="5" borderId="63" xfId="0" applyFill="1" applyBorder="1" applyAlignment="1" applyProtection="1">
      <alignment horizontal="center" vertical="center" wrapText="1"/>
      <protection locked="0"/>
    </xf>
    <xf numFmtId="0" fontId="0" fillId="5" borderId="102" xfId="0" applyFill="1" applyBorder="1" applyAlignment="1" applyProtection="1">
      <alignment horizontal="center" vertical="center" wrapText="1"/>
      <protection locked="0"/>
    </xf>
    <xf numFmtId="0" fontId="0" fillId="5" borderId="103" xfId="0" applyFill="1" applyBorder="1" applyAlignment="1" applyProtection="1">
      <alignment horizontal="center" vertical="center" wrapText="1"/>
      <protection locked="0"/>
    </xf>
    <xf numFmtId="0" fontId="0" fillId="5" borderId="104" xfId="0" applyFill="1" applyBorder="1" applyAlignment="1" applyProtection="1">
      <alignment horizontal="center" vertical="center" wrapText="1"/>
      <protection locked="0"/>
    </xf>
    <xf numFmtId="0" fontId="38" fillId="22" borderId="0" xfId="0" applyFont="1" applyFill="1" applyAlignment="1" applyProtection="1">
      <alignment horizontal="center" wrapText="1"/>
      <protection hidden="1"/>
    </xf>
    <xf numFmtId="0" fontId="39" fillId="22" borderId="0" xfId="0" applyFont="1" applyFill="1" applyAlignment="1" applyProtection="1">
      <alignment horizontal="center" vertical="top" wrapText="1"/>
      <protection hidden="1"/>
    </xf>
    <xf numFmtId="0" fontId="3" fillId="20" borderId="2" xfId="0" applyFont="1" applyFill="1" applyBorder="1" applyAlignment="1" applyProtection="1">
      <alignment horizontal="center" vertical="center"/>
      <protection locked="0"/>
    </xf>
    <xf numFmtId="0" fontId="3" fillId="20" borderId="8" xfId="0" applyFont="1" applyFill="1" applyBorder="1" applyAlignment="1" applyProtection="1">
      <alignment horizontal="center" vertical="center"/>
      <protection locked="0"/>
    </xf>
    <xf numFmtId="0" fontId="3" fillId="3" borderId="0" xfId="0" applyFont="1" applyFill="1" applyAlignment="1" applyProtection="1">
      <alignment vertical="center"/>
      <protection hidden="1"/>
    </xf>
    <xf numFmtId="0" fontId="3" fillId="0" borderId="0" xfId="0" applyFont="1" applyAlignment="1" applyProtection="1">
      <alignment vertical="center"/>
      <protection hidden="1"/>
    </xf>
    <xf numFmtId="0" fontId="3" fillId="0" borderId="63" xfId="0" applyFont="1" applyBorder="1" applyAlignment="1" applyProtection="1">
      <alignment vertical="center"/>
      <protection hidden="1"/>
    </xf>
    <xf numFmtId="0" fontId="3" fillId="20" borderId="38" xfId="0" applyFont="1" applyFill="1" applyBorder="1" applyAlignment="1" applyProtection="1">
      <alignment horizontal="left" vertical="center" indent="1"/>
      <protection locked="0"/>
    </xf>
    <xf numFmtId="0" fontId="3" fillId="20" borderId="39" xfId="0" applyFont="1" applyFill="1" applyBorder="1" applyAlignment="1" applyProtection="1">
      <alignment horizontal="left" vertical="center" indent="1"/>
      <protection locked="0"/>
    </xf>
    <xf numFmtId="0" fontId="0" fillId="20" borderId="39" xfId="0" applyFill="1" applyBorder="1" applyAlignment="1" applyProtection="1">
      <alignment horizontal="left" vertical="center" indent="1"/>
      <protection locked="0"/>
    </xf>
    <xf numFmtId="0" fontId="0" fillId="20" borderId="40" xfId="0" applyFill="1" applyBorder="1" applyAlignment="1" applyProtection="1">
      <alignment horizontal="left" vertical="center" indent="1"/>
      <protection locked="0"/>
    </xf>
    <xf numFmtId="0" fontId="40" fillId="23" borderId="0" xfId="0" applyFont="1" applyFill="1" applyAlignment="1">
      <alignment horizontal="center" vertical="center"/>
    </xf>
    <xf numFmtId="0" fontId="4" fillId="0" borderId="0" xfId="0" applyFont="1" applyAlignment="1" applyProtection="1">
      <alignment horizontal="left" vertical="center" indent="1"/>
      <protection hidden="1"/>
    </xf>
    <xf numFmtId="0" fontId="5" fillId="5" borderId="3" xfId="0" applyFont="1" applyFill="1" applyBorder="1" applyAlignment="1" applyProtection="1">
      <alignment horizontal="left" vertical="center" indent="1"/>
      <protection locked="0"/>
    </xf>
    <xf numFmtId="0" fontId="5" fillId="5" borderId="4" xfId="0" applyFont="1" applyFill="1" applyBorder="1" applyAlignment="1" applyProtection="1">
      <alignment horizontal="left" vertical="center" indent="1"/>
      <protection locked="0"/>
    </xf>
    <xf numFmtId="0" fontId="5" fillId="5" borderId="5" xfId="0" applyFont="1" applyFill="1" applyBorder="1" applyAlignment="1" applyProtection="1">
      <alignment horizontal="left" vertical="center" indent="1"/>
      <protection locked="0"/>
    </xf>
    <xf numFmtId="0" fontId="5" fillId="5" borderId="7" xfId="0" applyFont="1" applyFill="1" applyBorder="1" applyAlignment="1" applyProtection="1">
      <alignment horizontal="left" vertical="center" indent="1"/>
      <protection locked="0"/>
    </xf>
    <xf numFmtId="0" fontId="5" fillId="5" borderId="6" xfId="0" applyFont="1" applyFill="1" applyBorder="1" applyAlignment="1" applyProtection="1">
      <alignment horizontal="left" vertical="center" indent="1"/>
      <protection locked="0"/>
    </xf>
    <xf numFmtId="0" fontId="0" fillId="5" borderId="2" xfId="0" applyFill="1" applyBorder="1" applyAlignment="1" applyProtection="1">
      <alignment horizontal="left" vertical="center" indent="1"/>
      <protection locked="0"/>
    </xf>
    <xf numFmtId="0" fontId="0" fillId="0" borderId="8" xfId="0" applyBorder="1" applyAlignment="1" applyProtection="1">
      <alignment horizontal="left" vertical="center" indent="1"/>
      <protection locked="0"/>
    </xf>
    <xf numFmtId="14" fontId="0" fillId="5" borderId="2" xfId="0" applyNumberFormat="1" applyFill="1" applyBorder="1" applyAlignment="1" applyProtection="1">
      <alignment horizontal="left" vertical="center" indent="1"/>
      <protection locked="0"/>
    </xf>
    <xf numFmtId="14" fontId="0" fillId="0" borderId="8" xfId="0" applyNumberFormat="1" applyBorder="1" applyAlignment="1" applyProtection="1">
      <alignment horizontal="left" vertical="center" indent="1"/>
      <protection locked="0"/>
    </xf>
    <xf numFmtId="0" fontId="2" fillId="10" borderId="0" xfId="0" applyFont="1" applyFill="1" applyAlignment="1" applyProtection="1">
      <alignment horizontal="left" vertical="center" indent="1"/>
      <protection hidden="1"/>
    </xf>
    <xf numFmtId="0" fontId="10" fillId="10" borderId="0" xfId="0" applyFont="1" applyFill="1" applyAlignment="1" applyProtection="1">
      <alignment horizontal="left" vertical="center" indent="1"/>
      <protection hidden="1"/>
    </xf>
    <xf numFmtId="0" fontId="3" fillId="7" borderId="3" xfId="0" applyFont="1" applyFill="1" applyBorder="1" applyAlignment="1" applyProtection="1">
      <alignment horizontal="left" vertical="center" indent="1"/>
      <protection hidden="1"/>
    </xf>
    <xf numFmtId="0" fontId="3" fillId="7" borderId="4" xfId="0" applyFont="1" applyFill="1" applyBorder="1" applyAlignment="1" applyProtection="1">
      <alignment horizontal="left" vertical="center" indent="1"/>
      <protection hidden="1"/>
    </xf>
    <xf numFmtId="0" fontId="3" fillId="7" borderId="5" xfId="0" applyFont="1" applyFill="1" applyBorder="1" applyAlignment="1" applyProtection="1">
      <alignment horizontal="left" vertical="center" indent="1"/>
      <protection hidden="1"/>
    </xf>
    <xf numFmtId="0" fontId="0" fillId="5" borderId="2" xfId="0" applyFill="1" applyBorder="1" applyAlignment="1" applyProtection="1">
      <alignment horizontal="left" vertical="top" wrapText="1" indent="1"/>
      <protection locked="0"/>
    </xf>
    <xf numFmtId="0" fontId="0" fillId="5" borderId="11" xfId="0" applyFill="1" applyBorder="1" applyAlignment="1" applyProtection="1">
      <alignment horizontal="left" vertical="top" wrapText="1" indent="1"/>
      <protection locked="0"/>
    </xf>
    <xf numFmtId="0" fontId="0" fillId="5" borderId="8" xfId="0" applyFill="1" applyBorder="1" applyAlignment="1" applyProtection="1">
      <alignment horizontal="left" vertical="top" wrapText="1" indent="1"/>
      <protection locked="0"/>
    </xf>
    <xf numFmtId="0" fontId="2" fillId="4" borderId="26" xfId="0" applyFont="1" applyFill="1" applyBorder="1" applyAlignment="1" applyProtection="1">
      <alignment horizontal="left" vertical="center" indent="1"/>
      <protection hidden="1"/>
    </xf>
    <xf numFmtId="0" fontId="3" fillId="0" borderId="4" xfId="0" applyFont="1" applyBorder="1" applyAlignment="1" applyProtection="1">
      <alignment horizontal="left" vertical="center" indent="1"/>
      <protection locked="0"/>
    </xf>
    <xf numFmtId="0" fontId="0" fillId="0" borderId="4" xfId="0" applyBorder="1" applyAlignment="1" applyProtection="1">
      <alignment horizontal="left" vertical="center" indent="1"/>
      <protection locked="0"/>
    </xf>
    <xf numFmtId="0" fontId="3" fillId="5" borderId="2" xfId="0" applyFont="1" applyFill="1" applyBorder="1" applyAlignment="1" applyProtection="1">
      <alignment horizontal="left" vertical="center" indent="1"/>
      <protection locked="0"/>
    </xf>
    <xf numFmtId="0" fontId="2" fillId="4" borderId="2" xfId="0" applyFont="1" applyFill="1" applyBorder="1" applyAlignment="1" applyProtection="1">
      <alignment horizontal="left" vertical="center" wrapText="1" indent="1"/>
      <protection hidden="1"/>
    </xf>
    <xf numFmtId="0" fontId="0" fillId="0" borderId="8" xfId="0" applyBorder="1" applyAlignment="1" applyProtection="1">
      <alignment horizontal="left" vertical="center" indent="1"/>
      <protection hidden="1"/>
    </xf>
    <xf numFmtId="0" fontId="8" fillId="10" borderId="0" xfId="0" applyFont="1" applyFill="1" applyAlignment="1" applyProtection="1">
      <alignment horizontal="left" vertical="center" indent="1"/>
      <protection hidden="1"/>
    </xf>
    <xf numFmtId="0" fontId="4" fillId="10" borderId="0" xfId="0" applyFont="1" applyFill="1" applyAlignment="1" applyProtection="1">
      <alignment horizontal="left" vertical="center" indent="1"/>
      <protection hidden="1"/>
    </xf>
    <xf numFmtId="0" fontId="0" fillId="7" borderId="4" xfId="0" applyFill="1" applyBorder="1" applyAlignment="1" applyProtection="1">
      <alignment horizontal="left" vertical="center" indent="1"/>
      <protection hidden="1"/>
    </xf>
    <xf numFmtId="0" fontId="0" fillId="0" borderId="0" xfId="0" applyAlignment="1" applyProtection="1">
      <alignment horizontal="center" vertical="center" wrapText="1"/>
      <protection locked="0"/>
    </xf>
    <xf numFmtId="4" fontId="3" fillId="5" borderId="34" xfId="0" applyNumberFormat="1" applyFont="1" applyFill="1" applyBorder="1" applyAlignment="1" applyProtection="1">
      <alignment horizontal="right" vertical="center" indent="1"/>
      <protection locked="0"/>
    </xf>
    <xf numFmtId="4" fontId="3" fillId="0" borderId="34" xfId="0" applyNumberFormat="1" applyFont="1" applyBorder="1" applyAlignment="1" applyProtection="1">
      <alignment horizontal="right" vertical="center" indent="1"/>
      <protection locked="0"/>
    </xf>
    <xf numFmtId="0" fontId="2" fillId="4" borderId="37" xfId="0" applyFont="1" applyFill="1" applyBorder="1" applyAlignment="1" applyProtection="1">
      <alignment horizontal="left" vertical="center" indent="1"/>
      <protection hidden="1"/>
    </xf>
    <xf numFmtId="0" fontId="0" fillId="0" borderId="37" xfId="0" applyBorder="1" applyAlignment="1" applyProtection="1">
      <alignment horizontal="left" vertical="center" indent="1"/>
      <protection hidden="1"/>
    </xf>
    <xf numFmtId="0" fontId="3" fillId="7" borderId="38" xfId="0" applyFont="1" applyFill="1" applyBorder="1" applyAlignment="1" applyProtection="1">
      <alignment horizontal="left" vertical="center" indent="1"/>
      <protection hidden="1"/>
    </xf>
    <xf numFmtId="0" fontId="0" fillId="7" borderId="40" xfId="0" applyFill="1" applyBorder="1" applyAlignment="1" applyProtection="1">
      <alignment horizontal="left" vertical="center" indent="1"/>
      <protection hidden="1"/>
    </xf>
    <xf numFmtId="0" fontId="0" fillId="10" borderId="0" xfId="0" applyFill="1" applyAlignment="1" applyProtection="1">
      <alignment horizontal="left" vertical="center" indent="1"/>
      <protection hidden="1"/>
    </xf>
    <xf numFmtId="0" fontId="19" fillId="9" borderId="43" xfId="0" applyFont="1" applyFill="1" applyBorder="1" applyAlignment="1" applyProtection="1">
      <alignment horizontal="right" vertical="center"/>
      <protection hidden="1"/>
    </xf>
    <xf numFmtId="0" fontId="0" fillId="0" borderId="44" xfId="0" applyBorder="1" applyAlignment="1" applyProtection="1">
      <alignment vertical="center"/>
      <protection hidden="1"/>
    </xf>
    <xf numFmtId="0" fontId="3" fillId="9" borderId="51" xfId="0" applyFont="1" applyFill="1" applyBorder="1" applyAlignment="1" applyProtection="1">
      <alignment horizontal="center" vertical="center"/>
      <protection hidden="1"/>
    </xf>
    <xf numFmtId="0" fontId="0" fillId="0" borderId="52" xfId="0" applyBorder="1" applyAlignment="1" applyProtection="1">
      <alignment horizontal="center" vertical="center"/>
      <protection hidden="1"/>
    </xf>
    <xf numFmtId="0" fontId="19" fillId="9" borderId="57" xfId="0" applyFont="1" applyFill="1" applyBorder="1" applyAlignment="1" applyProtection="1">
      <alignment horizontal="right" vertical="center"/>
      <protection hidden="1"/>
    </xf>
    <xf numFmtId="0" fontId="0" fillId="0" borderId="58" xfId="0" applyBorder="1" applyAlignment="1" applyProtection="1">
      <alignment vertical="center"/>
      <protection hidden="1"/>
    </xf>
    <xf numFmtId="0" fontId="9" fillId="2" borderId="0" xfId="2" applyFill="1" applyAlignment="1" applyProtection="1">
      <alignment horizontal="left" vertical="center" indent="1"/>
      <protection hidden="1"/>
    </xf>
    <xf numFmtId="0" fontId="9" fillId="0" borderId="0" xfId="2" applyAlignment="1" applyProtection="1">
      <alignment horizontal="left" vertical="center" indent="1"/>
      <protection hidden="1"/>
    </xf>
    <xf numFmtId="0" fontId="2" fillId="4" borderId="3" xfId="0" applyFont="1" applyFill="1" applyBorder="1" applyAlignment="1" applyProtection="1">
      <alignment horizontal="left" vertical="center" indent="1"/>
      <protection hidden="1"/>
    </xf>
    <xf numFmtId="0" fontId="0" fillId="0" borderId="5" xfId="0" applyBorder="1" applyAlignment="1" applyProtection="1">
      <alignment horizontal="left" vertical="center" indent="1"/>
      <protection hidden="1"/>
    </xf>
    <xf numFmtId="0" fontId="20" fillId="6" borderId="60" xfId="0" applyFont="1" applyFill="1" applyBorder="1" applyAlignment="1" applyProtection="1">
      <alignment horizontal="center" vertical="center"/>
      <protection hidden="1"/>
    </xf>
    <xf numFmtId="0" fontId="0" fillId="0" borderId="46" xfId="0" applyBorder="1" applyAlignment="1" applyProtection="1">
      <alignment horizontal="center" vertical="center"/>
      <protection hidden="1"/>
    </xf>
    <xf numFmtId="2" fontId="3" fillId="7" borderId="39" xfId="0" applyNumberFormat="1" applyFont="1" applyFill="1" applyBorder="1" applyAlignment="1" applyProtection="1">
      <alignment horizontal="left" vertical="center" indent="1"/>
      <protection hidden="1"/>
    </xf>
    <xf numFmtId="0" fontId="0" fillId="5" borderId="78" xfId="0" applyFill="1" applyBorder="1" applyAlignment="1" applyProtection="1">
      <alignment horizontal="left" vertical="center" wrapText="1" indent="1"/>
      <protection locked="0"/>
    </xf>
    <xf numFmtId="0" fontId="0" fillId="0" borderId="80" xfId="0" applyBorder="1" applyAlignment="1" applyProtection="1">
      <alignment horizontal="left" vertical="center" wrapText="1" indent="1"/>
      <protection locked="0"/>
    </xf>
    <xf numFmtId="0" fontId="0" fillId="0" borderId="78" xfId="0" applyBorder="1" applyAlignment="1" applyProtection="1">
      <alignment horizontal="left" vertical="center" wrapText="1" indent="1"/>
      <protection locked="0"/>
    </xf>
    <xf numFmtId="0" fontId="27" fillId="15" borderId="91" xfId="0" applyFont="1" applyFill="1" applyBorder="1" applyAlignment="1" applyProtection="1">
      <alignment horizontal="center" vertical="center"/>
      <protection hidden="1"/>
    </xf>
    <xf numFmtId="0" fontId="0" fillId="0" borderId="92" xfId="0" applyBorder="1" applyAlignment="1" applyProtection="1">
      <alignment horizontal="center" vertical="center"/>
      <protection hidden="1"/>
    </xf>
    <xf numFmtId="0" fontId="8" fillId="21" borderId="0" xfId="0" applyFont="1" applyFill="1" applyAlignment="1" applyProtection="1">
      <alignment horizontal="left" vertical="center" indent="1"/>
      <protection hidden="1"/>
    </xf>
    <xf numFmtId="0" fontId="4" fillId="21" borderId="0" xfId="0" applyFont="1" applyFill="1" applyAlignment="1" applyProtection="1">
      <alignment horizontal="left" vertical="center" indent="1"/>
      <protection hidden="1"/>
    </xf>
    <xf numFmtId="0" fontId="27" fillId="15" borderId="94" xfId="0" applyFont="1" applyFill="1" applyBorder="1" applyAlignment="1" applyProtection="1">
      <alignment horizontal="center" vertical="center"/>
      <protection hidden="1"/>
    </xf>
    <xf numFmtId="0" fontId="0" fillId="0" borderId="80" xfId="0" applyBorder="1" applyAlignment="1" applyProtection="1">
      <alignment horizontal="center" vertical="center"/>
      <protection hidden="1"/>
    </xf>
    <xf numFmtId="0" fontId="0" fillId="7" borderId="15" xfId="0" applyFill="1" applyBorder="1" applyAlignment="1" applyProtection="1">
      <alignment horizontal="left" vertical="center" indent="1"/>
      <protection hidden="1"/>
    </xf>
    <xf numFmtId="0" fontId="15" fillId="9" borderId="56" xfId="0" applyFont="1" applyFill="1" applyBorder="1" applyAlignment="1" applyProtection="1">
      <alignment horizontal="center" vertical="center" wrapText="1"/>
      <protection hidden="1"/>
    </xf>
    <xf numFmtId="0" fontId="0" fillId="0" borderId="43" xfId="0" applyBorder="1" applyAlignment="1" applyProtection="1">
      <alignment vertical="center"/>
      <protection hidden="1"/>
    </xf>
    <xf numFmtId="0" fontId="0" fillId="9" borderId="56" xfId="0" applyFill="1" applyBorder="1" applyAlignment="1" applyProtection="1">
      <alignment horizontal="left" vertical="center"/>
      <protection locked="0"/>
    </xf>
    <xf numFmtId="0" fontId="0" fillId="0" borderId="43" xfId="0" applyBorder="1" applyAlignment="1" applyProtection="1">
      <alignment vertical="center"/>
      <protection locked="0"/>
    </xf>
    <xf numFmtId="0" fontId="0" fillId="9" borderId="96" xfId="0" applyFill="1" applyBorder="1" applyAlignment="1" applyProtection="1">
      <alignment horizontal="left" vertical="center"/>
      <protection locked="0"/>
    </xf>
    <xf numFmtId="0" fontId="0" fillId="0" borderId="61" xfId="0" applyBorder="1" applyAlignment="1" applyProtection="1">
      <alignment vertical="center"/>
      <protection locked="0"/>
    </xf>
    <xf numFmtId="0" fontId="3" fillId="9" borderId="95" xfId="0" applyFont="1" applyFill="1" applyBorder="1" applyAlignment="1" applyProtection="1">
      <alignment horizontal="center" vertical="center"/>
      <protection hidden="1"/>
    </xf>
    <xf numFmtId="0" fontId="0" fillId="0" borderId="51" xfId="0" applyBorder="1" applyAlignment="1" applyProtection="1">
      <alignment vertical="center"/>
      <protection hidden="1"/>
    </xf>
    <xf numFmtId="0" fontId="0" fillId="9" borderId="66" xfId="0" applyFill="1" applyBorder="1" applyAlignment="1" applyProtection="1">
      <alignment horizontal="left" vertical="center"/>
      <protection locked="0"/>
    </xf>
    <xf numFmtId="0" fontId="0" fillId="0" borderId="57" xfId="0" applyBorder="1" applyAlignment="1" applyProtection="1">
      <alignment vertical="center"/>
      <protection locked="0"/>
    </xf>
    <xf numFmtId="0" fontId="0" fillId="9" borderId="66" xfId="0" applyFill="1" applyBorder="1" applyAlignment="1" applyProtection="1">
      <alignment horizontal="left" vertical="center"/>
      <protection hidden="1"/>
    </xf>
    <xf numFmtId="0" fontId="0" fillId="0" borderId="57" xfId="0" applyBorder="1" applyAlignment="1" applyProtection="1">
      <alignment vertical="center"/>
      <protection hidden="1"/>
    </xf>
    <xf numFmtId="0" fontId="0" fillId="9" borderId="56" xfId="0" applyFill="1" applyBorder="1" applyAlignment="1" applyProtection="1">
      <alignment horizontal="left" vertical="center"/>
      <protection hidden="1"/>
    </xf>
    <xf numFmtId="2" fontId="3" fillId="7" borderId="20" xfId="0" applyNumberFormat="1" applyFont="1" applyFill="1" applyBorder="1" applyAlignment="1" applyProtection="1">
      <alignment horizontal="left" vertical="center" indent="1"/>
      <protection hidden="1"/>
    </xf>
    <xf numFmtId="0" fontId="0" fillId="7" borderId="118" xfId="0" applyFill="1" applyBorder="1" applyAlignment="1" applyProtection="1">
      <alignment horizontal="left" vertical="center" indent="1"/>
      <protection hidden="1"/>
    </xf>
    <xf numFmtId="0" fontId="26" fillId="9" borderId="131" xfId="0" applyFont="1" applyFill="1" applyBorder="1" applyAlignment="1" applyProtection="1">
      <alignment horizontal="center" vertical="center" wrapText="1"/>
      <protection hidden="1"/>
    </xf>
    <xf numFmtId="0" fontId="21" fillId="0" borderId="132" xfId="0" applyFont="1" applyBorder="1" applyAlignment="1" applyProtection="1">
      <alignment vertical="center"/>
      <protection hidden="1"/>
    </xf>
    <xf numFmtId="0" fontId="21" fillId="0" borderId="133" xfId="0" applyFont="1" applyBorder="1" applyAlignment="1" applyProtection="1">
      <alignment vertical="center"/>
      <protection hidden="1"/>
    </xf>
    <xf numFmtId="167" fontId="3" fillId="9" borderId="73" xfId="0" applyNumberFormat="1" applyFont="1" applyFill="1" applyBorder="1" applyAlignment="1" applyProtection="1">
      <alignment horizontal="center" vertical="center" wrapText="1"/>
      <protection hidden="1"/>
    </xf>
    <xf numFmtId="0" fontId="0" fillId="9" borderId="74" xfId="0" applyFill="1" applyBorder="1" applyAlignment="1" applyProtection="1">
      <alignment horizontal="center" vertical="center"/>
      <protection hidden="1"/>
    </xf>
    <xf numFmtId="0" fontId="3" fillId="9" borderId="71" xfId="0" applyFont="1" applyFill="1" applyBorder="1" applyAlignment="1" applyProtection="1">
      <alignment horizontal="center" vertical="center" wrapText="1"/>
      <protection hidden="1"/>
    </xf>
    <xf numFmtId="0" fontId="0" fillId="9" borderId="67" xfId="0" applyFill="1" applyBorder="1" applyAlignment="1" applyProtection="1">
      <alignment vertical="center"/>
      <protection hidden="1"/>
    </xf>
    <xf numFmtId="167" fontId="3" fillId="9" borderId="64" xfId="0" applyNumberFormat="1" applyFont="1" applyFill="1" applyBorder="1" applyAlignment="1" applyProtection="1">
      <alignment horizontal="center" vertical="center" wrapText="1"/>
      <protection hidden="1"/>
    </xf>
    <xf numFmtId="0" fontId="0" fillId="9" borderId="65" xfId="0" applyFill="1" applyBorder="1" applyAlignment="1" applyProtection="1">
      <alignment vertical="center"/>
      <protection hidden="1"/>
    </xf>
    <xf numFmtId="167" fontId="3" fillId="9" borderId="72" xfId="0" applyNumberFormat="1" applyFont="1" applyFill="1" applyBorder="1" applyAlignment="1" applyProtection="1">
      <alignment horizontal="center" vertical="center" wrapText="1"/>
      <protection hidden="1"/>
    </xf>
    <xf numFmtId="0" fontId="0" fillId="9" borderId="68" xfId="0" applyFill="1" applyBorder="1" applyAlignment="1" applyProtection="1">
      <alignment vertical="center"/>
      <protection hidden="1"/>
    </xf>
    <xf numFmtId="0" fontId="0" fillId="0" borderId="79" xfId="0" applyBorder="1" applyAlignment="1" applyProtection="1">
      <alignment horizontal="left" vertical="center" wrapText="1" indent="1"/>
      <protection locked="0"/>
    </xf>
    <xf numFmtId="0" fontId="27" fillId="15" borderId="0" xfId="0" applyFont="1" applyFill="1" applyAlignment="1" applyProtection="1">
      <alignment horizontal="left" vertical="center" indent="1"/>
      <protection hidden="1"/>
    </xf>
    <xf numFmtId="0" fontId="28" fillId="15" borderId="0" xfId="0" applyFont="1" applyFill="1" applyAlignment="1" applyProtection="1">
      <alignment horizontal="left" vertical="center" indent="1"/>
      <protection hidden="1"/>
    </xf>
    <xf numFmtId="0" fontId="0" fillId="3" borderId="0" xfId="0" applyFill="1" applyAlignment="1" applyProtection="1">
      <alignment horizontal="right" vertical="center" indent="1"/>
      <protection hidden="1"/>
    </xf>
    <xf numFmtId="0" fontId="0" fillId="0" borderId="0" xfId="0" applyAlignment="1" applyProtection="1">
      <alignment horizontal="right" vertical="center" indent="1"/>
      <protection hidden="1"/>
    </xf>
    <xf numFmtId="0" fontId="3" fillId="5" borderId="81" xfId="0" applyFont="1" applyFill="1" applyBorder="1" applyAlignment="1" applyProtection="1">
      <alignment horizontal="center" vertical="center" wrapText="1"/>
      <protection locked="0"/>
    </xf>
    <xf numFmtId="0" fontId="3" fillId="0" borderId="77" xfId="0" applyFont="1" applyBorder="1" applyAlignment="1" applyProtection="1">
      <alignment horizontal="center" vertical="center" wrapText="1"/>
      <protection locked="0"/>
    </xf>
    <xf numFmtId="0" fontId="3" fillId="0" borderId="82" xfId="0" applyFont="1" applyBorder="1" applyAlignment="1" applyProtection="1">
      <alignment horizontal="center" vertical="center" wrapText="1"/>
      <protection locked="0"/>
    </xf>
    <xf numFmtId="0" fontId="20" fillId="10" borderId="78" xfId="0" applyFont="1" applyFill="1" applyBorder="1" applyAlignment="1" applyProtection="1">
      <alignment horizontal="center" vertical="center" wrapText="1"/>
      <protection hidden="1"/>
    </xf>
    <xf numFmtId="0" fontId="0" fillId="0" borderId="79" xfId="0" applyBorder="1" applyAlignment="1" applyProtection="1">
      <alignment horizontal="center" vertical="center" wrapText="1"/>
      <protection hidden="1"/>
    </xf>
    <xf numFmtId="0" fontId="0" fillId="0" borderId="80" xfId="0" applyBorder="1" applyAlignment="1" applyProtection="1">
      <alignment horizontal="center" vertical="center" wrapText="1"/>
      <protection hidden="1"/>
    </xf>
    <xf numFmtId="0" fontId="15" fillId="8" borderId="78" xfId="0" applyFont="1" applyFill="1" applyBorder="1" applyAlignment="1" applyProtection="1">
      <alignment horizontal="left" vertical="center" wrapText="1" indent="1"/>
      <protection locked="0"/>
    </xf>
    <xf numFmtId="0" fontId="15" fillId="8" borderId="79" xfId="0" applyFont="1" applyFill="1" applyBorder="1" applyAlignment="1" applyProtection="1">
      <alignment horizontal="left" vertical="center" wrapText="1" indent="1"/>
      <protection locked="0"/>
    </xf>
    <xf numFmtId="0" fontId="15" fillId="8" borderId="80" xfId="0" applyFont="1" applyFill="1" applyBorder="1" applyAlignment="1" applyProtection="1">
      <alignment horizontal="left" vertical="center" wrapText="1" indent="1"/>
      <protection locked="0"/>
    </xf>
    <xf numFmtId="0" fontId="26" fillId="0" borderId="77" xfId="0" applyFont="1" applyBorder="1" applyAlignment="1" applyProtection="1">
      <alignment horizontal="center" vertical="center" wrapText="1"/>
      <protection locked="0"/>
    </xf>
    <xf numFmtId="0" fontId="21" fillId="0" borderId="77" xfId="0" applyFont="1" applyBorder="1" applyAlignment="1" applyProtection="1">
      <alignment horizontal="center" vertical="center" wrapText="1"/>
      <protection locked="0"/>
    </xf>
    <xf numFmtId="0" fontId="21" fillId="0" borderId="82" xfId="0" applyFont="1" applyBorder="1" applyAlignment="1" applyProtection="1">
      <alignment horizontal="center" vertical="center" wrapText="1"/>
      <protection locked="0"/>
    </xf>
    <xf numFmtId="0" fontId="0" fillId="0" borderId="83" xfId="0" applyBorder="1" applyAlignment="1" applyProtection="1">
      <alignment horizontal="left" vertical="center" wrapText="1" indent="1"/>
      <protection locked="0"/>
    </xf>
    <xf numFmtId="0" fontId="0" fillId="0" borderId="84" xfId="0" applyBorder="1" applyAlignment="1" applyProtection="1">
      <alignment horizontal="left" vertical="center" wrapText="1" indent="1"/>
      <protection locked="0"/>
    </xf>
    <xf numFmtId="0" fontId="0" fillId="0" borderId="85" xfId="0" applyBorder="1" applyAlignment="1" applyProtection="1">
      <alignment horizontal="left" vertical="center" wrapText="1" indent="1"/>
      <protection locked="0"/>
    </xf>
    <xf numFmtId="0" fontId="0" fillId="0" borderId="4" xfId="0" applyBorder="1" applyAlignment="1" applyProtection="1">
      <alignment horizontal="left" vertical="center" indent="1"/>
      <protection hidden="1"/>
    </xf>
    <xf numFmtId="2" fontId="3" fillId="7" borderId="38" xfId="0" applyNumberFormat="1" applyFont="1" applyFill="1" applyBorder="1" applyAlignment="1" applyProtection="1">
      <alignment horizontal="left" vertical="center"/>
      <protection hidden="1"/>
    </xf>
    <xf numFmtId="0" fontId="0" fillId="7" borderId="39" xfId="0" applyFill="1" applyBorder="1" applyAlignment="1" applyProtection="1">
      <alignment vertical="center"/>
      <protection hidden="1"/>
    </xf>
    <xf numFmtId="0" fontId="0" fillId="7" borderId="40" xfId="0" applyFill="1" applyBorder="1" applyAlignment="1" applyProtection="1">
      <alignment vertical="center"/>
      <protection hidden="1"/>
    </xf>
    <xf numFmtId="165" fontId="16" fillId="9" borderId="14" xfId="0" applyNumberFormat="1" applyFont="1" applyFill="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0" fillId="5" borderId="137" xfId="0" applyFill="1" applyBorder="1" applyAlignment="1" applyProtection="1">
      <alignment horizontal="left" vertical="center" indent="1"/>
      <protection locked="0"/>
    </xf>
    <xf numFmtId="0" fontId="0" fillId="0" borderId="39" xfId="0" applyBorder="1" applyAlignment="1" applyProtection="1">
      <alignment horizontal="left" vertical="center" indent="1"/>
      <protection locked="0"/>
    </xf>
    <xf numFmtId="0" fontId="0" fillId="0" borderId="138" xfId="0" applyBorder="1" applyAlignment="1" applyProtection="1">
      <alignment horizontal="left" vertical="center" indent="1"/>
      <protection locked="0"/>
    </xf>
    <xf numFmtId="0" fontId="0" fillId="5" borderId="139" xfId="0" applyFill="1" applyBorder="1" applyAlignment="1" applyProtection="1">
      <alignment horizontal="left" vertical="center" indent="1"/>
      <protection locked="0"/>
    </xf>
    <xf numFmtId="0" fontId="0" fillId="0" borderId="140" xfId="0" applyBorder="1" applyAlignment="1" applyProtection="1">
      <alignment horizontal="left" vertical="center" indent="1"/>
      <protection locked="0"/>
    </xf>
    <xf numFmtId="0" fontId="0" fillId="0" borderId="141" xfId="0" applyBorder="1" applyAlignment="1" applyProtection="1">
      <alignment horizontal="left" vertical="center" indent="1"/>
      <protection locked="0"/>
    </xf>
    <xf numFmtId="0" fontId="0" fillId="7" borderId="2" xfId="0" applyFill="1" applyBorder="1" applyAlignment="1" applyProtection="1">
      <alignment horizontal="left" vertical="center"/>
      <protection hidden="1"/>
    </xf>
    <xf numFmtId="0" fontId="0" fillId="7" borderId="11" xfId="0" applyFill="1" applyBorder="1" applyAlignment="1" applyProtection="1">
      <alignment vertical="center"/>
      <protection hidden="1"/>
    </xf>
    <xf numFmtId="0" fontId="0" fillId="7" borderId="8" xfId="0" applyFill="1" applyBorder="1" applyAlignment="1" applyProtection="1">
      <alignment vertical="center"/>
      <protection hidden="1"/>
    </xf>
    <xf numFmtId="0" fontId="0" fillId="5" borderId="134" xfId="0" applyFill="1" applyBorder="1" applyAlignment="1" applyProtection="1">
      <alignment horizontal="left" vertical="center" indent="1"/>
      <protection locked="0"/>
    </xf>
    <xf numFmtId="0" fontId="0" fillId="0" borderId="135" xfId="0" applyBorder="1" applyAlignment="1" applyProtection="1">
      <alignment horizontal="left" vertical="center" indent="1"/>
      <protection locked="0"/>
    </xf>
    <xf numFmtId="0" fontId="0" fillId="0" borderId="136" xfId="0" applyBorder="1" applyAlignment="1" applyProtection="1">
      <alignment horizontal="left" vertical="center" indent="1"/>
      <protection locked="0"/>
    </xf>
    <xf numFmtId="0" fontId="20" fillId="6" borderId="46" xfId="0" applyFont="1" applyFill="1" applyBorder="1" applyAlignment="1" applyProtection="1">
      <alignment horizontal="center" vertical="center"/>
      <protection hidden="1"/>
    </xf>
    <xf numFmtId="0" fontId="15" fillId="11" borderId="44" xfId="0" applyFont="1" applyFill="1" applyBorder="1" applyAlignment="1" applyProtection="1">
      <alignment horizontal="center" vertical="center" wrapText="1"/>
      <protection hidden="1"/>
    </xf>
    <xf numFmtId="0" fontId="20" fillId="10" borderId="47" xfId="0" applyFont="1" applyFill="1" applyBorder="1" applyAlignment="1" applyProtection="1">
      <alignment horizontal="center" vertical="center"/>
      <protection hidden="1"/>
    </xf>
    <xf numFmtId="0" fontId="0" fillId="0" borderId="28" xfId="0" applyBorder="1" applyAlignment="1" applyProtection="1">
      <alignment horizontal="center" vertical="center"/>
      <protection hidden="1"/>
    </xf>
    <xf numFmtId="0" fontId="0" fillId="0" borderId="42" xfId="0" applyBorder="1" applyAlignment="1" applyProtection="1">
      <alignment horizontal="center" vertical="center"/>
      <protection hidden="1"/>
    </xf>
    <xf numFmtId="0" fontId="20" fillId="10" borderId="27" xfId="0" applyFont="1" applyFill="1"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15" fillId="9" borderId="45" xfId="0" applyFont="1" applyFill="1" applyBorder="1" applyAlignment="1" applyProtection="1">
      <alignment horizontal="center" vertical="center" wrapText="1"/>
      <protection hidden="1"/>
    </xf>
    <xf numFmtId="0" fontId="0" fillId="0" borderId="56" xfId="0" applyBorder="1" applyAlignment="1" applyProtection="1">
      <alignment horizontal="center" vertical="center" wrapText="1"/>
      <protection hidden="1"/>
    </xf>
    <xf numFmtId="0" fontId="0" fillId="0" borderId="43" xfId="0" applyBorder="1" applyAlignment="1" applyProtection="1">
      <alignment horizontal="center" vertical="center" wrapText="1"/>
      <protection hidden="1"/>
    </xf>
    <xf numFmtId="2" fontId="3" fillId="7" borderId="37" xfId="0" applyNumberFormat="1" applyFont="1" applyFill="1" applyBorder="1" applyAlignment="1" applyProtection="1">
      <alignment horizontal="left" vertical="center" indent="1"/>
      <protection hidden="1"/>
    </xf>
    <xf numFmtId="0" fontId="0" fillId="7" borderId="37" xfId="0" applyFill="1" applyBorder="1" applyAlignment="1" applyProtection="1">
      <alignment horizontal="left" vertical="center" indent="1"/>
      <protection hidden="1"/>
    </xf>
    <xf numFmtId="0" fontId="2" fillId="22" borderId="73" xfId="0" applyFont="1" applyFill="1" applyBorder="1" applyAlignment="1" applyProtection="1">
      <alignment horizontal="center" vertical="center" textRotation="90" wrapText="1"/>
      <protection hidden="1"/>
    </xf>
    <xf numFmtId="0" fontId="0" fillId="0" borderId="99" xfId="0" applyBorder="1" applyAlignment="1" applyProtection="1">
      <alignment horizontal="center" vertical="center" textRotation="90" wrapText="1"/>
      <protection hidden="1"/>
    </xf>
    <xf numFmtId="0" fontId="0" fillId="0" borderId="0" xfId="0" applyAlignment="1">
      <alignment horizontal="left" vertical="center" indent="1"/>
    </xf>
    <xf numFmtId="0" fontId="10" fillId="22" borderId="99" xfId="0" applyFont="1" applyFill="1" applyBorder="1" applyAlignment="1" applyProtection="1">
      <alignment horizontal="center" vertical="center" textRotation="90" wrapText="1"/>
      <protection hidden="1"/>
    </xf>
    <xf numFmtId="0" fontId="10" fillId="22" borderId="74" xfId="0" applyFont="1" applyFill="1" applyBorder="1" applyAlignment="1" applyProtection="1">
      <alignment horizontal="center" vertical="center" textRotation="90" wrapText="1"/>
      <protection hidden="1"/>
    </xf>
    <xf numFmtId="0" fontId="8" fillId="6" borderId="0" xfId="0" applyFont="1" applyFill="1" applyAlignment="1" applyProtection="1">
      <alignment horizontal="center" vertical="center"/>
      <protection hidden="1"/>
    </xf>
    <xf numFmtId="0" fontId="0" fillId="0" borderId="0" xfId="0" applyAlignment="1" applyProtection="1">
      <alignment horizontal="center" vertical="center"/>
      <protection hidden="1"/>
    </xf>
    <xf numFmtId="0" fontId="2" fillId="10" borderId="97" xfId="0" applyFont="1" applyFill="1" applyBorder="1" applyAlignment="1" applyProtection="1">
      <alignment horizontal="center" vertical="center"/>
      <protection hidden="1"/>
    </xf>
    <xf numFmtId="0" fontId="10" fillId="10" borderId="95" xfId="0" applyFont="1" applyFill="1" applyBorder="1" applyAlignment="1" applyProtection="1">
      <alignment horizontal="center" vertical="center"/>
      <protection hidden="1"/>
    </xf>
    <xf numFmtId="0" fontId="10" fillId="10" borderId="98" xfId="0" applyFont="1" applyFill="1" applyBorder="1" applyAlignment="1" applyProtection="1">
      <alignment horizontal="center" vertical="center"/>
      <protection hidden="1"/>
    </xf>
    <xf numFmtId="0" fontId="2" fillId="4" borderId="54" xfId="0" applyFont="1" applyFill="1" applyBorder="1" applyAlignment="1" applyProtection="1">
      <alignment horizontal="left" vertical="center" indent="1"/>
      <protection hidden="1"/>
    </xf>
    <xf numFmtId="2" fontId="3" fillId="7" borderId="86" xfId="0" applyNumberFormat="1" applyFont="1" applyFill="1" applyBorder="1" applyAlignment="1" applyProtection="1">
      <alignment horizontal="left" vertical="center" indent="1"/>
      <protection hidden="1"/>
    </xf>
    <xf numFmtId="0" fontId="0" fillId="7" borderId="87" xfId="0" applyFill="1" applyBorder="1" applyAlignment="1" applyProtection="1">
      <alignment horizontal="left" vertical="center" indent="1"/>
      <protection hidden="1"/>
    </xf>
    <xf numFmtId="0" fontId="0" fillId="7" borderId="88" xfId="0" applyFill="1" applyBorder="1" applyAlignment="1" applyProtection="1">
      <alignment horizontal="left" vertical="center" indent="1"/>
      <protection hidden="1"/>
    </xf>
    <xf numFmtId="0" fontId="0" fillId="9" borderId="45" xfId="0" applyFill="1" applyBorder="1" applyAlignment="1" applyProtection="1">
      <alignment horizontal="left" vertical="center" indent="1"/>
      <protection hidden="1"/>
    </xf>
    <xf numFmtId="0" fontId="0" fillId="0" borderId="43" xfId="0" applyBorder="1" applyAlignment="1" applyProtection="1">
      <alignment horizontal="left" vertical="center" indent="1"/>
      <protection hidden="1"/>
    </xf>
    <xf numFmtId="0" fontId="0" fillId="9" borderId="44" xfId="0" applyFill="1" applyBorder="1" applyAlignment="1" applyProtection="1">
      <alignment horizontal="left" vertical="center" indent="1"/>
      <protection hidden="1"/>
    </xf>
    <xf numFmtId="0" fontId="0" fillId="0" borderId="44" xfId="0" applyBorder="1" applyAlignment="1" applyProtection="1">
      <alignment horizontal="left" vertical="center" indent="1"/>
      <protection hidden="1"/>
    </xf>
    <xf numFmtId="2" fontId="3" fillId="7" borderId="86" xfId="0" applyNumberFormat="1" applyFont="1" applyFill="1" applyBorder="1" applyAlignment="1" applyProtection="1">
      <alignment horizontal="left" vertical="center"/>
      <protection hidden="1"/>
    </xf>
    <xf numFmtId="0" fontId="0" fillId="7" borderId="87" xfId="0" applyFill="1" applyBorder="1" applyAlignment="1" applyProtection="1">
      <alignment vertical="center"/>
      <protection hidden="1"/>
    </xf>
    <xf numFmtId="0" fontId="0" fillId="7" borderId="88" xfId="0" applyFill="1" applyBorder="1" applyAlignment="1" applyProtection="1">
      <alignment vertical="center"/>
      <protection hidden="1"/>
    </xf>
  </cellXfs>
  <cellStyles count="3">
    <cellStyle name="Hiperligação" xfId="2" builtinId="8"/>
    <cellStyle name="Normal" xfId="0" builtinId="0"/>
    <cellStyle name="Percentagem" xfId="1" builtinId="5"/>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lightGray"/>
      </fill>
    </dxf>
    <dxf>
      <fill>
        <patternFill patternType="lightGray"/>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4DB-0643-809D-67F4283086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4DB-0643-809D-67F428308688}"/>
              </c:ext>
            </c:extLst>
          </c:dPt>
          <c:cat>
            <c:strRef>
              <c:f>'ESTRUTURA SOCIETÁRIA'!$D$26:$D$27</c:f>
              <c:strCache>
                <c:ptCount val="2"/>
                <c:pt idx="0">
                  <c:v>% DE ACCIONISTAS NACIONAIS:</c:v>
                </c:pt>
                <c:pt idx="1">
                  <c:v>% DE ACCIONISTAS ESTRANGEIROS:</c:v>
                </c:pt>
              </c:strCache>
            </c:strRef>
          </c:cat>
          <c:val>
            <c:numRef>
              <c:f>'ESTRUTURA SOCIETÁRIA'!$E$26:$E$27</c:f>
              <c:numCache>
                <c:formatCode>0.00%</c:formatCode>
                <c:ptCount val="2"/>
                <c:pt idx="0">
                  <c:v>0</c:v>
                </c:pt>
                <c:pt idx="1">
                  <c:v>0</c:v>
                </c:pt>
              </c:numCache>
            </c:numRef>
          </c:val>
          <c:extLst>
            <c:ext xmlns:c16="http://schemas.microsoft.com/office/drawing/2014/chart" uri="{C3380CC4-5D6E-409C-BE32-E72D297353CC}">
              <c16:uniqueId val="{00000004-54DB-0643-809D-67F42830868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Distrib. por Género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PT"/>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7E2-7047-9EAD-92FE54CF44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E2-7047-9EAD-92FE54CF441B}"/>
              </c:ext>
            </c:extLst>
          </c:dPt>
          <c:dLbls>
            <c:dLbl>
              <c:idx val="0"/>
              <c:layout>
                <c:manualLayout>
                  <c:x val="0.11594202898550725"/>
                  <c:y val="-1.5503875968992319E-2"/>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F7E2-7047-9EAD-92FE54CF441B}"/>
                </c:ext>
              </c:extLst>
            </c:dLbl>
            <c:dLbl>
              <c:idx val="1"/>
              <c:layout>
                <c:manualLayout>
                  <c:x val="-0.11594202898550728"/>
                  <c:y val="0"/>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F7E2-7047-9EAD-92FE54CF441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'INFORMAÇÃO ESTATÍSTICA'!$D$24:$E$24</c:f>
              <c:strCache>
                <c:ptCount val="2"/>
                <c:pt idx="0">
                  <c:v>N.º Homens</c:v>
                </c:pt>
                <c:pt idx="1">
                  <c:v>N.º Mulheres</c:v>
                </c:pt>
              </c:strCache>
            </c:strRef>
          </c:cat>
          <c:val>
            <c:numRef>
              <c:f>'INFORMAÇÃO ESTATÍSTICA'!$D$28:$E$28</c:f>
              <c:numCache>
                <c:formatCode>General</c:formatCode>
                <c:ptCount val="2"/>
                <c:pt idx="0">
                  <c:v>0</c:v>
                </c:pt>
                <c:pt idx="1">
                  <c:v>0</c:v>
                </c:pt>
              </c:numCache>
            </c:numRef>
          </c:val>
          <c:extLst>
            <c:ext xmlns:c16="http://schemas.microsoft.com/office/drawing/2014/chart" uri="{C3380CC4-5D6E-409C-BE32-E72D297353CC}">
              <c16:uniqueId val="{00000004-F7E2-7047-9EAD-92FE54CF441B}"/>
            </c:ext>
          </c:extLst>
        </c:ser>
        <c:dLbls>
          <c:showLegendKey val="0"/>
          <c:showVal val="1"/>
          <c:showCatName val="0"/>
          <c:showSerName val="0"/>
          <c:showPercent val="0"/>
          <c:showBubbleSize val="0"/>
          <c:showLeaderLines val="0"/>
        </c:dLbls>
        <c:firstSliceAng val="0"/>
        <c:holeSize val="56"/>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Nacionalidade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PT"/>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6A9-2A44-A9DB-EAC1BE4EAC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6A9-2A44-A9DB-EAC1BE4EACFA}"/>
              </c:ext>
            </c:extLst>
          </c:dPt>
          <c:dLbls>
            <c:dLbl>
              <c:idx val="0"/>
              <c:layout>
                <c:manualLayout>
                  <c:x val="0.11584566554919035"/>
                  <c:y val="7.7519379844961239E-3"/>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E6A9-2A44-A9DB-EAC1BE4EACFA}"/>
                </c:ext>
              </c:extLst>
            </c:dLbl>
            <c:dLbl>
              <c:idx val="1"/>
              <c:layout>
                <c:manualLayout>
                  <c:x val="-0.12871728161263496"/>
                  <c:y val="1.5503875968992319E-2"/>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E6A9-2A44-A9DB-EAC1BE4EAC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'INFORMAÇÃO ESTATÍSTICA'!$F$24:$G$24</c:f>
              <c:strCache>
                <c:ptCount val="2"/>
                <c:pt idx="0">
                  <c:v>Nacionais</c:v>
                </c:pt>
                <c:pt idx="1">
                  <c:v>Estrang.</c:v>
                </c:pt>
              </c:strCache>
            </c:strRef>
          </c:cat>
          <c:val>
            <c:numRef>
              <c:f>'INFORMAÇÃO ESTATÍSTICA'!$F$28:$G$28</c:f>
              <c:numCache>
                <c:formatCode>General</c:formatCode>
                <c:ptCount val="2"/>
                <c:pt idx="0">
                  <c:v>0</c:v>
                </c:pt>
                <c:pt idx="1">
                  <c:v>0</c:v>
                </c:pt>
              </c:numCache>
            </c:numRef>
          </c:val>
          <c:extLst>
            <c:ext xmlns:c16="http://schemas.microsoft.com/office/drawing/2014/chart" uri="{C3380CC4-5D6E-409C-BE32-E72D297353CC}">
              <c16:uniqueId val="{00000004-E6A9-2A44-A9DB-EAC1BE4EACFA}"/>
            </c:ext>
          </c:extLst>
        </c:ser>
        <c:dLbls>
          <c:showLegendKey val="0"/>
          <c:showVal val="1"/>
          <c:showCatName val="0"/>
          <c:showSerName val="0"/>
          <c:showPercent val="0"/>
          <c:showBubbleSize val="0"/>
          <c:showLeaderLines val="0"/>
        </c:dLbls>
        <c:firstSliceAng val="0"/>
        <c:holeSize val="56"/>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Nível</a:t>
            </a:r>
            <a:r>
              <a:rPr lang="en-US" b="1" baseline="0"/>
              <a:t> de Habilitações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6F-EA4B-90A0-7C4315589B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6F-EA4B-90A0-7C4315589B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6F-EA4B-90A0-7C4315589BE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6F-EA4B-90A0-7C4315589BE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6F-EA4B-90A0-7C4315589BE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6F-EA4B-90A0-7C4315589B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'INFORMAÇÃO ESTATÍSTICA'!$B$31:$B$36</c:f>
              <c:strCache>
                <c:ptCount val="6"/>
                <c:pt idx="0">
                  <c:v>MESTRES</c:v>
                </c:pt>
                <c:pt idx="1">
                  <c:v>LICENCIADOS</c:v>
                </c:pt>
                <c:pt idx="2">
                  <c:v>NÍVEL TÉCNICO</c:v>
                </c:pt>
                <c:pt idx="3">
                  <c:v>NÍVEL MÉDIO</c:v>
                </c:pt>
                <c:pt idx="4">
                  <c:v>NÍVEL SECUNDÁRIO</c:v>
                </c:pt>
                <c:pt idx="5">
                  <c:v>OUTRO</c:v>
                </c:pt>
              </c:strCache>
            </c:strRef>
          </c:cat>
          <c:val>
            <c:numRef>
              <c:f>'INFORMAÇÃO ESTATÍSTICA'!$C$31:$C$36</c:f>
              <c:numCache>
                <c:formatCode>General</c:formatCode>
                <c:ptCount val="6"/>
              </c:numCache>
            </c:numRef>
          </c:val>
          <c:extLst>
            <c:ext xmlns:c16="http://schemas.microsoft.com/office/drawing/2014/chart" uri="{C3380CC4-5D6E-409C-BE32-E72D297353CC}">
              <c16:uniqueId val="{0000000C-DD6F-EA4B-90A0-7C4315589BE8}"/>
            </c:ext>
          </c:extLst>
        </c:ser>
        <c:dLbls>
          <c:showLegendKey val="0"/>
          <c:showVal val="1"/>
          <c:showCatName val="0"/>
          <c:showSerName val="0"/>
          <c:showPercent val="0"/>
          <c:showBubbleSize val="0"/>
          <c:showLeaderLines val="0"/>
        </c:dLbls>
        <c:firstSliceAng val="0"/>
        <c:holeSize val="56"/>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'INFORMAÇÃO ESTATÍSTICA'!$B$53</c:f>
              <c:strCache>
                <c:ptCount val="1"/>
                <c:pt idx="0">
                  <c:v>N.º MÉDIO DE TRABALHADORES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'INFORMAÇÃO ESTATÍSTICA'!$C$52:$G$52</c:f>
              <c:numCache>
                <c:formatCode>General</c:formatCode>
                <c:ptCount val="5"/>
                <c:pt idx="0">
                  <c:v>2017</c:v>
                </c:pt>
                <c:pt idx="1">
                  <c:v>2018</c:v>
                </c:pt>
                <c:pt idx="2">
                  <c:v>2019</c:v>
                </c:pt>
                <c:pt idx="3">
                  <c:v>2020</c:v>
                </c:pt>
                <c:pt idx="4">
                  <c:v>2021</c:v>
                </c:pt>
              </c:numCache>
            </c:numRef>
          </c:cat>
          <c:val>
            <c:numRef>
              <c:f>'INFORMAÇÃO ESTATÍSTICA'!$C$53:$G$53</c:f>
              <c:numCache>
                <c:formatCode>General</c:formatCode>
                <c:ptCount val="5"/>
              </c:numCache>
            </c:numRef>
          </c:val>
          <c:smooth val="0"/>
          <c:extLst>
            <c:ext xmlns:c16="http://schemas.microsoft.com/office/drawing/2014/chart" uri="{C3380CC4-5D6E-409C-BE32-E72D297353CC}">
              <c16:uniqueId val="{00000000-5209-EE40-92CC-DA31189F83C4}"/>
            </c:ext>
          </c:extLst>
        </c:ser>
        <c:dLbls>
          <c:showLegendKey val="0"/>
          <c:showVal val="0"/>
          <c:showCatName val="0"/>
          <c:showSerName val="0"/>
          <c:showPercent val="0"/>
          <c:showBubbleSize val="0"/>
        </c:dLbls>
        <c:marker val="1"/>
        <c:smooth val="0"/>
        <c:axId val="105707008"/>
        <c:axId val="105708928"/>
      </c:lineChart>
      <c:catAx>
        <c:axId val="10570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8928"/>
        <c:crosses val="autoZero"/>
        <c:auto val="1"/>
        <c:lblAlgn val="ctr"/>
        <c:lblOffset val="100"/>
        <c:noMultiLvlLbl val="0"/>
      </c:catAx>
      <c:valAx>
        <c:axId val="10570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7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Vendas de Bens e Serviços</a:t>
            </a:r>
            <a:endParaRPr lang="en-US" sz="1200"/>
          </a:p>
        </c:rich>
      </c:tx>
      <c:layout>
        <c:manualLayout>
          <c:xMode val="edge"/>
          <c:yMode val="edge"/>
          <c:x val="3.8875446171944973E-2"/>
          <c:y val="2.1052631578947368E-2"/>
        </c:manualLayout>
      </c:layout>
      <c:overlay val="0"/>
    </c:title>
    <c:autoTitleDeleted val="0"/>
    <c:plotArea>
      <c:layout/>
      <c:barChart>
        <c:barDir val="col"/>
        <c:grouping val="clustered"/>
        <c:varyColors val="0"/>
        <c:ser>
          <c:idx val="0"/>
          <c:order val="0"/>
          <c:tx>
            <c:strRef>
              <c:f>Auxiliar!$G$11</c:f>
              <c:strCache>
                <c:ptCount val="1"/>
                <c:pt idx="0">
                  <c:v>Vendas de Bens e Serviços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Auxiliar!$I$10:$L$10</c:f>
              <c:numCache>
                <c:formatCode>General</c:formatCode>
                <c:ptCount val="4"/>
                <c:pt idx="0">
                  <c:v>2018</c:v>
                </c:pt>
                <c:pt idx="1">
                  <c:v>2019</c:v>
                </c:pt>
                <c:pt idx="2">
                  <c:v>2020</c:v>
                </c:pt>
                <c:pt idx="3">
                  <c:v>2021</c:v>
                </c:pt>
              </c:numCache>
            </c:numRef>
          </c:cat>
          <c:val>
            <c:numRef>
              <c:f>Auxiliar!$I$11:$L$11</c:f>
              <c:numCache>
                <c:formatCode>#,##0;\(#,##0\)</c:formatCode>
                <c:ptCount val="4"/>
                <c:pt idx="0">
                  <c:v>0</c:v>
                </c:pt>
                <c:pt idx="1">
                  <c:v>0</c:v>
                </c:pt>
                <c:pt idx="2">
                  <c:v>0</c:v>
                </c:pt>
                <c:pt idx="3">
                  <c:v>732600</c:v>
                </c:pt>
              </c:numCache>
            </c:numRef>
          </c:val>
          <c:extLst>
            <c:ext xmlns:c16="http://schemas.microsoft.com/office/drawing/2014/chart" uri="{C3380CC4-5D6E-409C-BE32-E72D297353CC}">
              <c16:uniqueId val="{00000000-14A2-8448-891D-EEBD56F858ED}"/>
            </c:ext>
          </c:extLst>
        </c:ser>
        <c:dLbls>
          <c:showLegendKey val="0"/>
          <c:showVal val="0"/>
          <c:showCatName val="0"/>
          <c:showSerName val="0"/>
          <c:showPercent val="0"/>
          <c:showBubbleSize val="0"/>
        </c:dLbls>
        <c:gapWidth val="150"/>
        <c:axId val="106093184"/>
        <c:axId val="104661376"/>
      </c:barChart>
      <c:lineChart>
        <c:grouping val="standard"/>
        <c:varyColors val="0"/>
        <c:ser>
          <c:idx val="1"/>
          <c:order val="1"/>
          <c:tx>
            <c:strRef>
              <c:f>Auxiliar!$G$12</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Auxiliar!$I$10:$L$10</c:f>
              <c:numCache>
                <c:formatCode>General</c:formatCode>
                <c:ptCount val="4"/>
                <c:pt idx="0">
                  <c:v>2018</c:v>
                </c:pt>
                <c:pt idx="1">
                  <c:v>2019</c:v>
                </c:pt>
                <c:pt idx="2">
                  <c:v>2020</c:v>
                </c:pt>
                <c:pt idx="3">
                  <c:v>2021</c:v>
                </c:pt>
              </c:numCache>
            </c:numRef>
          </c:cat>
          <c:val>
            <c:numRef>
              <c:f>Auxiliar!$I$12:$L$12</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14A2-8448-891D-EEBD56F858ED}"/>
            </c:ext>
          </c:extLst>
        </c:ser>
        <c:dLbls>
          <c:showLegendKey val="0"/>
          <c:showVal val="0"/>
          <c:showCatName val="0"/>
          <c:showSerName val="0"/>
          <c:showPercent val="0"/>
          <c:showBubbleSize val="0"/>
        </c:dLbls>
        <c:marker val="1"/>
        <c:smooth val="0"/>
        <c:axId val="104669568"/>
        <c:axId val="104663296"/>
      </c:lineChart>
      <c:catAx>
        <c:axId val="106093184"/>
        <c:scaling>
          <c:orientation val="minMax"/>
        </c:scaling>
        <c:delete val="0"/>
        <c:axPos val="b"/>
        <c:numFmt formatCode="General" sourceLinked="1"/>
        <c:majorTickMark val="out"/>
        <c:minorTickMark val="none"/>
        <c:tickLblPos val="nextTo"/>
        <c:txPr>
          <a:bodyPr/>
          <a:lstStyle/>
          <a:p>
            <a:pPr>
              <a:defRPr b="1"/>
            </a:pPr>
            <a:endParaRPr lang="en-US"/>
          </a:p>
        </c:txPr>
        <c:crossAx val="104661376"/>
        <c:crosses val="autoZero"/>
        <c:auto val="1"/>
        <c:lblAlgn val="ctr"/>
        <c:lblOffset val="100"/>
        <c:noMultiLvlLbl val="0"/>
      </c:catAx>
      <c:valAx>
        <c:axId val="104661376"/>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6093184"/>
        <c:crosses val="autoZero"/>
        <c:crossBetween val="between"/>
      </c:valAx>
      <c:valAx>
        <c:axId val="104663296"/>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4669568"/>
        <c:crosses val="max"/>
        <c:crossBetween val="between"/>
      </c:valAx>
      <c:catAx>
        <c:axId val="104669568"/>
        <c:scaling>
          <c:orientation val="minMax"/>
        </c:scaling>
        <c:delete val="1"/>
        <c:axPos val="b"/>
        <c:numFmt formatCode="General" sourceLinked="1"/>
        <c:majorTickMark val="out"/>
        <c:minorTickMark val="none"/>
        <c:tickLblPos val="none"/>
        <c:crossAx val="104663296"/>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Custo dos Inventários Vendidos ou Consumidos</a:t>
            </a:r>
            <a:endParaRPr lang="en-US" sz="1200"/>
          </a:p>
        </c:rich>
      </c:tx>
      <c:layout>
        <c:manualLayout>
          <c:xMode val="edge"/>
          <c:yMode val="edge"/>
          <c:x val="5.2457789126104569E-2"/>
          <c:y val="3.2132963988919662E-2"/>
        </c:manualLayout>
      </c:layout>
      <c:overlay val="0"/>
    </c:title>
    <c:autoTitleDeleted val="0"/>
    <c:plotArea>
      <c:layout/>
      <c:barChart>
        <c:barDir val="col"/>
        <c:grouping val="clustered"/>
        <c:varyColors val="0"/>
        <c:ser>
          <c:idx val="0"/>
          <c:order val="0"/>
          <c:tx>
            <c:strRef>
              <c:f>Auxiliar!$G$15</c:f>
              <c:strCache>
                <c:ptCount val="1"/>
                <c:pt idx="0">
                  <c:v>Custo dos Inventários Vendidos ou Consumidos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Auxiliar!$I$14:$L$14</c:f>
              <c:numCache>
                <c:formatCode>General</c:formatCode>
                <c:ptCount val="4"/>
                <c:pt idx="0">
                  <c:v>2018</c:v>
                </c:pt>
                <c:pt idx="1">
                  <c:v>2019</c:v>
                </c:pt>
                <c:pt idx="2">
                  <c:v>2020</c:v>
                </c:pt>
                <c:pt idx="3">
                  <c:v>2021</c:v>
                </c:pt>
              </c:numCache>
            </c:numRef>
          </c:cat>
          <c:val>
            <c:numRef>
              <c:f>Auxiliar!$I$15:$L$15</c:f>
              <c:numCache>
                <c:formatCode>#,##0;\(#,##0\)</c:formatCode>
                <c:ptCount val="4"/>
                <c:pt idx="0">
                  <c:v>0</c:v>
                </c:pt>
                <c:pt idx="1">
                  <c:v>0</c:v>
                </c:pt>
                <c:pt idx="2">
                  <c:v>0</c:v>
                </c:pt>
                <c:pt idx="3">
                  <c:v>0</c:v>
                </c:pt>
              </c:numCache>
            </c:numRef>
          </c:val>
          <c:extLst>
            <c:ext xmlns:c16="http://schemas.microsoft.com/office/drawing/2014/chart" uri="{C3380CC4-5D6E-409C-BE32-E72D297353CC}">
              <c16:uniqueId val="{00000000-3B09-BF4C-82EA-96B6E07387FA}"/>
            </c:ext>
          </c:extLst>
        </c:ser>
        <c:dLbls>
          <c:showLegendKey val="0"/>
          <c:showVal val="0"/>
          <c:showCatName val="0"/>
          <c:showSerName val="0"/>
          <c:showPercent val="0"/>
          <c:showBubbleSize val="0"/>
        </c:dLbls>
        <c:gapWidth val="150"/>
        <c:axId val="104708352"/>
        <c:axId val="106627072"/>
      </c:barChart>
      <c:lineChart>
        <c:grouping val="standard"/>
        <c:varyColors val="0"/>
        <c:ser>
          <c:idx val="1"/>
          <c:order val="1"/>
          <c:tx>
            <c:strRef>
              <c:f>Auxiliar!$G$16</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Auxiliar!$I$14:$L$14</c:f>
              <c:numCache>
                <c:formatCode>General</c:formatCode>
                <c:ptCount val="4"/>
                <c:pt idx="0">
                  <c:v>2018</c:v>
                </c:pt>
                <c:pt idx="1">
                  <c:v>2019</c:v>
                </c:pt>
                <c:pt idx="2">
                  <c:v>2020</c:v>
                </c:pt>
                <c:pt idx="3">
                  <c:v>2021</c:v>
                </c:pt>
              </c:numCache>
            </c:numRef>
          </c:cat>
          <c:val>
            <c:numRef>
              <c:f>Auxiliar!$I$16:$L$16</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3B09-BF4C-82EA-96B6E07387FA}"/>
            </c:ext>
          </c:extLst>
        </c:ser>
        <c:dLbls>
          <c:showLegendKey val="0"/>
          <c:showVal val="0"/>
          <c:showCatName val="0"/>
          <c:showSerName val="0"/>
          <c:showPercent val="0"/>
          <c:showBubbleSize val="0"/>
        </c:dLbls>
        <c:marker val="1"/>
        <c:smooth val="0"/>
        <c:axId val="106635264"/>
        <c:axId val="106628992"/>
      </c:lineChart>
      <c:catAx>
        <c:axId val="104708352"/>
        <c:scaling>
          <c:orientation val="minMax"/>
        </c:scaling>
        <c:delete val="0"/>
        <c:axPos val="b"/>
        <c:numFmt formatCode="General" sourceLinked="1"/>
        <c:majorTickMark val="out"/>
        <c:minorTickMark val="none"/>
        <c:tickLblPos val="nextTo"/>
        <c:txPr>
          <a:bodyPr/>
          <a:lstStyle/>
          <a:p>
            <a:pPr>
              <a:defRPr b="1"/>
            </a:pPr>
            <a:endParaRPr lang="en-US"/>
          </a:p>
        </c:txPr>
        <c:crossAx val="106627072"/>
        <c:crosses val="autoZero"/>
        <c:auto val="1"/>
        <c:lblAlgn val="ctr"/>
        <c:lblOffset val="100"/>
        <c:noMultiLvlLbl val="0"/>
      </c:catAx>
      <c:valAx>
        <c:axId val="10662707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4708352"/>
        <c:crosses val="autoZero"/>
        <c:crossBetween val="between"/>
      </c:valAx>
      <c:valAx>
        <c:axId val="106628992"/>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6635264"/>
        <c:crosses val="max"/>
        <c:crossBetween val="between"/>
      </c:valAx>
      <c:catAx>
        <c:axId val="106635264"/>
        <c:scaling>
          <c:orientation val="minMax"/>
        </c:scaling>
        <c:delete val="1"/>
        <c:axPos val="b"/>
        <c:numFmt formatCode="General" sourceLinked="1"/>
        <c:majorTickMark val="out"/>
        <c:minorTickMark val="none"/>
        <c:tickLblPos val="none"/>
        <c:crossAx val="106628992"/>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Gastos com Pessoal</a:t>
            </a:r>
            <a:endParaRPr lang="en-US" sz="1200"/>
          </a:p>
        </c:rich>
      </c:tx>
      <c:layout>
        <c:manualLayout>
          <c:xMode val="edge"/>
          <c:yMode val="edge"/>
          <c:x val="4.1139169997638239E-2"/>
          <c:y val="2.1052631578947368E-2"/>
        </c:manualLayout>
      </c:layout>
      <c:overlay val="0"/>
    </c:title>
    <c:autoTitleDeleted val="0"/>
    <c:plotArea>
      <c:layout/>
      <c:barChart>
        <c:barDir val="col"/>
        <c:grouping val="clustered"/>
        <c:varyColors val="0"/>
        <c:ser>
          <c:idx val="0"/>
          <c:order val="0"/>
          <c:tx>
            <c:strRef>
              <c:f>Auxiliar!$G$19</c:f>
              <c:strCache>
                <c:ptCount val="1"/>
                <c:pt idx="0">
                  <c:v>Gastos com Pessoal</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Auxiliar!$I$18:$L$18</c:f>
              <c:numCache>
                <c:formatCode>General</c:formatCode>
                <c:ptCount val="4"/>
                <c:pt idx="0">
                  <c:v>2018</c:v>
                </c:pt>
                <c:pt idx="1">
                  <c:v>2019</c:v>
                </c:pt>
                <c:pt idx="2">
                  <c:v>2020</c:v>
                </c:pt>
                <c:pt idx="3">
                  <c:v>2021</c:v>
                </c:pt>
              </c:numCache>
            </c:numRef>
          </c:cat>
          <c:val>
            <c:numRef>
              <c:f>Auxiliar!$I$19:$L$19</c:f>
              <c:numCache>
                <c:formatCode>#,##0;\(#,##0\)</c:formatCode>
                <c:ptCount val="4"/>
                <c:pt idx="0">
                  <c:v>0</c:v>
                </c:pt>
                <c:pt idx="1">
                  <c:v>0</c:v>
                </c:pt>
                <c:pt idx="2">
                  <c:v>0</c:v>
                </c:pt>
                <c:pt idx="3">
                  <c:v>4935151.17</c:v>
                </c:pt>
              </c:numCache>
            </c:numRef>
          </c:val>
          <c:extLst>
            <c:ext xmlns:c16="http://schemas.microsoft.com/office/drawing/2014/chart" uri="{C3380CC4-5D6E-409C-BE32-E72D297353CC}">
              <c16:uniqueId val="{00000000-2349-ED44-BFE8-94CD8D25DC3F}"/>
            </c:ext>
          </c:extLst>
        </c:ser>
        <c:dLbls>
          <c:showLegendKey val="0"/>
          <c:showVal val="0"/>
          <c:showCatName val="0"/>
          <c:showSerName val="0"/>
          <c:showPercent val="0"/>
          <c:showBubbleSize val="0"/>
        </c:dLbls>
        <c:gapWidth val="150"/>
        <c:axId val="106688512"/>
        <c:axId val="106690048"/>
      </c:barChart>
      <c:lineChart>
        <c:grouping val="standard"/>
        <c:varyColors val="0"/>
        <c:ser>
          <c:idx val="1"/>
          <c:order val="1"/>
          <c:tx>
            <c:strRef>
              <c:f>Auxiliar!$G$20</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Auxiliar!$I$18:$L$18</c:f>
              <c:numCache>
                <c:formatCode>General</c:formatCode>
                <c:ptCount val="4"/>
                <c:pt idx="0">
                  <c:v>2018</c:v>
                </c:pt>
                <c:pt idx="1">
                  <c:v>2019</c:v>
                </c:pt>
                <c:pt idx="2">
                  <c:v>2020</c:v>
                </c:pt>
                <c:pt idx="3">
                  <c:v>2021</c:v>
                </c:pt>
              </c:numCache>
            </c:numRef>
          </c:cat>
          <c:val>
            <c:numRef>
              <c:f>Auxiliar!$I$20:$L$20</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2349-ED44-BFE8-94CD8D25DC3F}"/>
            </c:ext>
          </c:extLst>
        </c:ser>
        <c:dLbls>
          <c:showLegendKey val="0"/>
          <c:showVal val="0"/>
          <c:showCatName val="0"/>
          <c:showSerName val="0"/>
          <c:showPercent val="0"/>
          <c:showBubbleSize val="0"/>
        </c:dLbls>
        <c:marker val="1"/>
        <c:smooth val="0"/>
        <c:axId val="106694144"/>
        <c:axId val="106691968"/>
      </c:lineChart>
      <c:catAx>
        <c:axId val="106688512"/>
        <c:scaling>
          <c:orientation val="minMax"/>
        </c:scaling>
        <c:delete val="0"/>
        <c:axPos val="b"/>
        <c:numFmt formatCode="General" sourceLinked="1"/>
        <c:majorTickMark val="out"/>
        <c:minorTickMark val="none"/>
        <c:tickLblPos val="nextTo"/>
        <c:txPr>
          <a:bodyPr/>
          <a:lstStyle/>
          <a:p>
            <a:pPr>
              <a:defRPr b="1"/>
            </a:pPr>
            <a:endParaRPr lang="en-US"/>
          </a:p>
        </c:txPr>
        <c:crossAx val="106690048"/>
        <c:crosses val="autoZero"/>
        <c:auto val="1"/>
        <c:lblAlgn val="ctr"/>
        <c:lblOffset val="100"/>
        <c:noMultiLvlLbl val="0"/>
      </c:catAx>
      <c:valAx>
        <c:axId val="106690048"/>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6688512"/>
        <c:crosses val="autoZero"/>
        <c:crossBetween val="between"/>
      </c:valAx>
      <c:valAx>
        <c:axId val="106691968"/>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6694144"/>
        <c:crosses val="max"/>
        <c:crossBetween val="between"/>
      </c:valAx>
      <c:catAx>
        <c:axId val="106694144"/>
        <c:scaling>
          <c:orientation val="minMax"/>
        </c:scaling>
        <c:delete val="1"/>
        <c:axPos val="b"/>
        <c:numFmt formatCode="General" sourceLinked="1"/>
        <c:majorTickMark val="out"/>
        <c:minorTickMark val="none"/>
        <c:tickLblPos val="none"/>
        <c:crossAx val="106691968"/>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Fornecimentos e Serviços de Terceiros</a:t>
            </a:r>
            <a:endParaRPr lang="en-US" sz="1200"/>
          </a:p>
        </c:rich>
      </c:tx>
      <c:layout>
        <c:manualLayout>
          <c:xMode val="edge"/>
          <c:yMode val="edge"/>
          <c:x val="5.4721512951797835E-2"/>
          <c:y val="2.1052631578947368E-2"/>
        </c:manualLayout>
      </c:layout>
      <c:overlay val="0"/>
    </c:title>
    <c:autoTitleDeleted val="0"/>
    <c:plotArea>
      <c:layout/>
      <c:barChart>
        <c:barDir val="col"/>
        <c:grouping val="clustered"/>
        <c:varyColors val="0"/>
        <c:ser>
          <c:idx val="0"/>
          <c:order val="0"/>
          <c:tx>
            <c:strRef>
              <c:f>Auxiliar!$G$23</c:f>
              <c:strCache>
                <c:ptCount val="1"/>
                <c:pt idx="0">
                  <c:v>Fornecimentos e Serviços de Terceiros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Auxiliar!$I$22:$L$22</c:f>
              <c:numCache>
                <c:formatCode>General</c:formatCode>
                <c:ptCount val="4"/>
                <c:pt idx="0">
                  <c:v>2018</c:v>
                </c:pt>
                <c:pt idx="1">
                  <c:v>2019</c:v>
                </c:pt>
                <c:pt idx="2">
                  <c:v>2020</c:v>
                </c:pt>
                <c:pt idx="3">
                  <c:v>2021</c:v>
                </c:pt>
              </c:numCache>
            </c:numRef>
          </c:cat>
          <c:val>
            <c:numRef>
              <c:f>Auxiliar!$I$23:$L$23</c:f>
              <c:numCache>
                <c:formatCode>#,##0;\(#,##0\)</c:formatCode>
                <c:ptCount val="4"/>
                <c:pt idx="0">
                  <c:v>0</c:v>
                </c:pt>
                <c:pt idx="1">
                  <c:v>0</c:v>
                </c:pt>
                <c:pt idx="2">
                  <c:v>0</c:v>
                </c:pt>
                <c:pt idx="3">
                  <c:v>1778819.48</c:v>
                </c:pt>
              </c:numCache>
            </c:numRef>
          </c:val>
          <c:extLst>
            <c:ext xmlns:c16="http://schemas.microsoft.com/office/drawing/2014/chart" uri="{C3380CC4-5D6E-409C-BE32-E72D297353CC}">
              <c16:uniqueId val="{00000000-9E24-9A48-9A3A-6778F5AB467C}"/>
            </c:ext>
          </c:extLst>
        </c:ser>
        <c:dLbls>
          <c:showLegendKey val="0"/>
          <c:showVal val="0"/>
          <c:showCatName val="0"/>
          <c:showSerName val="0"/>
          <c:showPercent val="0"/>
          <c:showBubbleSize val="0"/>
        </c:dLbls>
        <c:gapWidth val="150"/>
        <c:axId val="106722432"/>
        <c:axId val="106723968"/>
      </c:barChart>
      <c:lineChart>
        <c:grouping val="standard"/>
        <c:varyColors val="0"/>
        <c:ser>
          <c:idx val="1"/>
          <c:order val="1"/>
          <c:tx>
            <c:strRef>
              <c:f>Auxiliar!$G$24</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Auxiliar!$I$22:$L$22</c:f>
              <c:numCache>
                <c:formatCode>General</c:formatCode>
                <c:ptCount val="4"/>
                <c:pt idx="0">
                  <c:v>2018</c:v>
                </c:pt>
                <c:pt idx="1">
                  <c:v>2019</c:v>
                </c:pt>
                <c:pt idx="2">
                  <c:v>2020</c:v>
                </c:pt>
                <c:pt idx="3">
                  <c:v>2021</c:v>
                </c:pt>
              </c:numCache>
            </c:numRef>
          </c:cat>
          <c:val>
            <c:numRef>
              <c:f>Auxiliar!$I$24:$L$24</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9E24-9A48-9A3A-6778F5AB467C}"/>
            </c:ext>
          </c:extLst>
        </c:ser>
        <c:dLbls>
          <c:showLegendKey val="0"/>
          <c:showVal val="0"/>
          <c:showCatName val="0"/>
          <c:showSerName val="0"/>
          <c:showPercent val="0"/>
          <c:showBubbleSize val="0"/>
        </c:dLbls>
        <c:marker val="1"/>
        <c:smooth val="0"/>
        <c:axId val="106748544"/>
        <c:axId val="106746624"/>
      </c:lineChart>
      <c:catAx>
        <c:axId val="106722432"/>
        <c:scaling>
          <c:orientation val="minMax"/>
        </c:scaling>
        <c:delete val="0"/>
        <c:axPos val="b"/>
        <c:numFmt formatCode="General" sourceLinked="1"/>
        <c:majorTickMark val="out"/>
        <c:minorTickMark val="none"/>
        <c:tickLblPos val="nextTo"/>
        <c:txPr>
          <a:bodyPr/>
          <a:lstStyle/>
          <a:p>
            <a:pPr>
              <a:defRPr b="1"/>
            </a:pPr>
            <a:endParaRPr lang="en-US"/>
          </a:p>
        </c:txPr>
        <c:crossAx val="106723968"/>
        <c:crosses val="autoZero"/>
        <c:auto val="1"/>
        <c:lblAlgn val="ctr"/>
        <c:lblOffset val="100"/>
        <c:noMultiLvlLbl val="0"/>
      </c:catAx>
      <c:valAx>
        <c:axId val="106723968"/>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6722432"/>
        <c:crosses val="autoZero"/>
        <c:crossBetween val="between"/>
      </c:valAx>
      <c:valAx>
        <c:axId val="106746624"/>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6748544"/>
        <c:crosses val="max"/>
        <c:crossBetween val="between"/>
      </c:valAx>
      <c:catAx>
        <c:axId val="106748544"/>
        <c:scaling>
          <c:orientation val="minMax"/>
        </c:scaling>
        <c:delete val="1"/>
        <c:axPos val="b"/>
        <c:numFmt formatCode="General" sourceLinked="1"/>
        <c:majorTickMark val="out"/>
        <c:minorTickMark val="none"/>
        <c:tickLblPos val="none"/>
        <c:crossAx val="106746624"/>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Depreciações e Amortizações</a:t>
            </a:r>
            <a:endParaRPr lang="en-US" sz="1200"/>
          </a:p>
        </c:rich>
      </c:tx>
      <c:layout>
        <c:manualLayout>
          <c:xMode val="edge"/>
          <c:yMode val="edge"/>
          <c:x val="5.9248960603184367E-2"/>
          <c:y val="2.1052631578947368E-2"/>
        </c:manualLayout>
      </c:layout>
      <c:overlay val="0"/>
    </c:title>
    <c:autoTitleDeleted val="0"/>
    <c:plotArea>
      <c:layout/>
      <c:barChart>
        <c:barDir val="col"/>
        <c:grouping val="clustered"/>
        <c:varyColors val="0"/>
        <c:ser>
          <c:idx val="0"/>
          <c:order val="0"/>
          <c:tx>
            <c:strRef>
              <c:f>Auxiliar!$G$27</c:f>
              <c:strCache>
                <c:ptCount val="1"/>
                <c:pt idx="0">
                  <c:v>Depreciações e Amortizações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Auxiliar!$I$26:$L$26</c:f>
              <c:numCache>
                <c:formatCode>General</c:formatCode>
                <c:ptCount val="4"/>
                <c:pt idx="0">
                  <c:v>2018</c:v>
                </c:pt>
                <c:pt idx="1">
                  <c:v>2019</c:v>
                </c:pt>
                <c:pt idx="2">
                  <c:v>2020</c:v>
                </c:pt>
                <c:pt idx="3">
                  <c:v>2021</c:v>
                </c:pt>
              </c:numCache>
            </c:numRef>
          </c:cat>
          <c:val>
            <c:numRef>
              <c:f>Auxiliar!$I$27:$L$27</c:f>
              <c:numCache>
                <c:formatCode>#,##0;\(#,##0\)</c:formatCode>
                <c:ptCount val="4"/>
                <c:pt idx="0">
                  <c:v>0</c:v>
                </c:pt>
                <c:pt idx="1">
                  <c:v>0</c:v>
                </c:pt>
                <c:pt idx="2">
                  <c:v>0</c:v>
                </c:pt>
                <c:pt idx="3">
                  <c:v>0</c:v>
                </c:pt>
              </c:numCache>
            </c:numRef>
          </c:val>
          <c:extLst>
            <c:ext xmlns:c16="http://schemas.microsoft.com/office/drawing/2014/chart" uri="{C3380CC4-5D6E-409C-BE32-E72D297353CC}">
              <c16:uniqueId val="{00000000-9514-7145-9BC4-FEE214396D30}"/>
            </c:ext>
          </c:extLst>
        </c:ser>
        <c:dLbls>
          <c:showLegendKey val="0"/>
          <c:showVal val="0"/>
          <c:showCatName val="0"/>
          <c:showSerName val="0"/>
          <c:showPercent val="0"/>
          <c:showBubbleSize val="0"/>
        </c:dLbls>
        <c:gapWidth val="150"/>
        <c:axId val="106788736"/>
        <c:axId val="106790272"/>
      </c:barChart>
      <c:lineChart>
        <c:grouping val="standard"/>
        <c:varyColors val="0"/>
        <c:ser>
          <c:idx val="1"/>
          <c:order val="1"/>
          <c:tx>
            <c:strRef>
              <c:f>Auxiliar!$G$28</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Auxiliar!$I$26:$L$26</c:f>
              <c:numCache>
                <c:formatCode>General</c:formatCode>
                <c:ptCount val="4"/>
                <c:pt idx="0">
                  <c:v>2018</c:v>
                </c:pt>
                <c:pt idx="1">
                  <c:v>2019</c:v>
                </c:pt>
                <c:pt idx="2">
                  <c:v>2020</c:v>
                </c:pt>
                <c:pt idx="3">
                  <c:v>2021</c:v>
                </c:pt>
              </c:numCache>
            </c:numRef>
          </c:cat>
          <c:val>
            <c:numRef>
              <c:f>Auxiliar!$I$28:$L$28</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9514-7145-9BC4-FEE214396D30}"/>
            </c:ext>
          </c:extLst>
        </c:ser>
        <c:dLbls>
          <c:showLegendKey val="0"/>
          <c:showVal val="0"/>
          <c:showCatName val="0"/>
          <c:showSerName val="0"/>
          <c:showPercent val="0"/>
          <c:showBubbleSize val="0"/>
        </c:dLbls>
        <c:marker val="1"/>
        <c:smooth val="0"/>
        <c:axId val="106798464"/>
        <c:axId val="106796544"/>
      </c:lineChart>
      <c:catAx>
        <c:axId val="106788736"/>
        <c:scaling>
          <c:orientation val="minMax"/>
        </c:scaling>
        <c:delete val="0"/>
        <c:axPos val="b"/>
        <c:numFmt formatCode="General" sourceLinked="1"/>
        <c:majorTickMark val="out"/>
        <c:minorTickMark val="none"/>
        <c:tickLblPos val="nextTo"/>
        <c:txPr>
          <a:bodyPr/>
          <a:lstStyle/>
          <a:p>
            <a:pPr>
              <a:defRPr b="1"/>
            </a:pPr>
            <a:endParaRPr lang="en-US"/>
          </a:p>
        </c:txPr>
        <c:crossAx val="106790272"/>
        <c:crosses val="autoZero"/>
        <c:auto val="1"/>
        <c:lblAlgn val="ctr"/>
        <c:lblOffset val="100"/>
        <c:noMultiLvlLbl val="0"/>
      </c:catAx>
      <c:valAx>
        <c:axId val="10679027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6788736"/>
        <c:crosses val="autoZero"/>
        <c:crossBetween val="between"/>
      </c:valAx>
      <c:valAx>
        <c:axId val="106796544"/>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6798464"/>
        <c:crosses val="max"/>
        <c:crossBetween val="between"/>
      </c:valAx>
      <c:catAx>
        <c:axId val="106798464"/>
        <c:scaling>
          <c:orientation val="minMax"/>
        </c:scaling>
        <c:delete val="1"/>
        <c:axPos val="b"/>
        <c:numFmt formatCode="General" sourceLinked="1"/>
        <c:majorTickMark val="out"/>
        <c:minorTickMark val="none"/>
        <c:tickLblPos val="none"/>
        <c:crossAx val="106796544"/>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 Operacional (EBIT)</a:t>
            </a:r>
            <a:endParaRPr lang="en-US" sz="1200"/>
          </a:p>
        </c:rich>
      </c:tx>
      <c:layout>
        <c:manualLayout>
          <c:xMode val="edge"/>
          <c:yMode val="edge"/>
          <c:x val="5.6985208230222226E-2"/>
          <c:y val="2.1052631578947368E-2"/>
        </c:manualLayout>
      </c:layout>
      <c:overlay val="0"/>
    </c:title>
    <c:autoTitleDeleted val="0"/>
    <c:plotArea>
      <c:layout/>
      <c:barChart>
        <c:barDir val="col"/>
        <c:grouping val="clustered"/>
        <c:varyColors val="0"/>
        <c:ser>
          <c:idx val="0"/>
          <c:order val="0"/>
          <c:tx>
            <c:strRef>
              <c:f>Auxiliar!$G$31</c:f>
              <c:strCache>
                <c:ptCount val="1"/>
                <c:pt idx="0">
                  <c:v>Resultados Operacionais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Auxiliar!$I$30:$L$30</c:f>
              <c:numCache>
                <c:formatCode>General</c:formatCode>
                <c:ptCount val="4"/>
                <c:pt idx="0">
                  <c:v>2018</c:v>
                </c:pt>
                <c:pt idx="1">
                  <c:v>2019</c:v>
                </c:pt>
                <c:pt idx="2">
                  <c:v>2020</c:v>
                </c:pt>
                <c:pt idx="3">
                  <c:v>2021</c:v>
                </c:pt>
              </c:numCache>
            </c:numRef>
          </c:cat>
          <c:val>
            <c:numRef>
              <c:f>Auxiliar!$I$31:$L$31</c:f>
              <c:numCache>
                <c:formatCode>#,##0;\(#,##0\)</c:formatCode>
                <c:ptCount val="4"/>
                <c:pt idx="0">
                  <c:v>0</c:v>
                </c:pt>
                <c:pt idx="1">
                  <c:v>0</c:v>
                </c:pt>
                <c:pt idx="2">
                  <c:v>0</c:v>
                </c:pt>
                <c:pt idx="3">
                  <c:v>-6389685.54</c:v>
                </c:pt>
              </c:numCache>
            </c:numRef>
          </c:val>
          <c:extLst>
            <c:ext xmlns:c16="http://schemas.microsoft.com/office/drawing/2014/chart" uri="{C3380CC4-5D6E-409C-BE32-E72D297353CC}">
              <c16:uniqueId val="{00000000-F1F6-6540-AAAE-071BC62D312C}"/>
            </c:ext>
          </c:extLst>
        </c:ser>
        <c:dLbls>
          <c:showLegendKey val="0"/>
          <c:showVal val="0"/>
          <c:showCatName val="0"/>
          <c:showSerName val="0"/>
          <c:showPercent val="0"/>
          <c:showBubbleSize val="0"/>
        </c:dLbls>
        <c:gapWidth val="150"/>
        <c:axId val="107899904"/>
        <c:axId val="107905792"/>
      </c:barChart>
      <c:lineChart>
        <c:grouping val="standard"/>
        <c:varyColors val="0"/>
        <c:ser>
          <c:idx val="1"/>
          <c:order val="1"/>
          <c:tx>
            <c:strRef>
              <c:f>Auxiliar!$G$32</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Auxiliar!$I$30:$L$30</c:f>
              <c:numCache>
                <c:formatCode>General</c:formatCode>
                <c:ptCount val="4"/>
                <c:pt idx="0">
                  <c:v>2018</c:v>
                </c:pt>
                <c:pt idx="1">
                  <c:v>2019</c:v>
                </c:pt>
                <c:pt idx="2">
                  <c:v>2020</c:v>
                </c:pt>
                <c:pt idx="3">
                  <c:v>2021</c:v>
                </c:pt>
              </c:numCache>
            </c:numRef>
          </c:cat>
          <c:val>
            <c:numRef>
              <c:f>Auxiliar!$I$32:$L$32</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F1F6-6540-AAAE-071BC62D312C}"/>
            </c:ext>
          </c:extLst>
        </c:ser>
        <c:dLbls>
          <c:showLegendKey val="0"/>
          <c:showVal val="0"/>
          <c:showCatName val="0"/>
          <c:showSerName val="0"/>
          <c:showPercent val="0"/>
          <c:showBubbleSize val="0"/>
        </c:dLbls>
        <c:marker val="1"/>
        <c:smooth val="0"/>
        <c:axId val="107913984"/>
        <c:axId val="107907712"/>
      </c:lineChart>
      <c:catAx>
        <c:axId val="107899904"/>
        <c:scaling>
          <c:orientation val="minMax"/>
        </c:scaling>
        <c:delete val="0"/>
        <c:axPos val="b"/>
        <c:numFmt formatCode="General" sourceLinked="1"/>
        <c:majorTickMark val="out"/>
        <c:minorTickMark val="none"/>
        <c:tickLblPos val="nextTo"/>
        <c:txPr>
          <a:bodyPr/>
          <a:lstStyle/>
          <a:p>
            <a:pPr>
              <a:defRPr b="1"/>
            </a:pPr>
            <a:endParaRPr lang="en-US"/>
          </a:p>
        </c:txPr>
        <c:crossAx val="107905792"/>
        <c:crosses val="autoZero"/>
        <c:auto val="1"/>
        <c:lblAlgn val="ctr"/>
        <c:lblOffset val="100"/>
        <c:noMultiLvlLbl val="0"/>
      </c:catAx>
      <c:valAx>
        <c:axId val="10790579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7899904"/>
        <c:crosses val="autoZero"/>
        <c:crossBetween val="between"/>
      </c:valAx>
      <c:valAx>
        <c:axId val="107907712"/>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7913984"/>
        <c:crosses val="max"/>
        <c:crossBetween val="between"/>
      </c:valAx>
      <c:catAx>
        <c:axId val="107913984"/>
        <c:scaling>
          <c:orientation val="minMax"/>
        </c:scaling>
        <c:delete val="1"/>
        <c:axPos val="b"/>
        <c:numFmt formatCode="General" sourceLinked="1"/>
        <c:majorTickMark val="out"/>
        <c:minorTickMark val="none"/>
        <c:tickLblPos val="none"/>
        <c:crossAx val="107907712"/>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Resultados Financeiros</a:t>
            </a:r>
            <a:endParaRPr lang="en-US" sz="1200"/>
          </a:p>
        </c:rich>
      </c:tx>
      <c:layout>
        <c:manualLayout>
          <c:xMode val="edge"/>
          <c:yMode val="edge"/>
          <c:x val="5.9248960603184367E-2"/>
          <c:y val="2.1052631578947368E-2"/>
        </c:manualLayout>
      </c:layout>
      <c:overlay val="0"/>
    </c:title>
    <c:autoTitleDeleted val="0"/>
    <c:plotArea>
      <c:layout/>
      <c:barChart>
        <c:barDir val="col"/>
        <c:grouping val="clustered"/>
        <c:varyColors val="0"/>
        <c:ser>
          <c:idx val="0"/>
          <c:order val="0"/>
          <c:tx>
            <c:strRef>
              <c:f>Auxiliar!$G$35</c:f>
              <c:strCache>
                <c:ptCount val="1"/>
                <c:pt idx="0">
                  <c:v>Resultados Financeiros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Auxiliar!$I$34:$L$34</c:f>
              <c:numCache>
                <c:formatCode>General</c:formatCode>
                <c:ptCount val="4"/>
                <c:pt idx="0">
                  <c:v>2018</c:v>
                </c:pt>
                <c:pt idx="1">
                  <c:v>2019</c:v>
                </c:pt>
                <c:pt idx="2">
                  <c:v>2020</c:v>
                </c:pt>
                <c:pt idx="3">
                  <c:v>2021</c:v>
                </c:pt>
              </c:numCache>
            </c:numRef>
          </c:cat>
          <c:val>
            <c:numRef>
              <c:f>Auxiliar!$I$35:$L$35</c:f>
              <c:numCache>
                <c:formatCode>#,##0;\(#,##0\)</c:formatCode>
                <c:ptCount val="4"/>
                <c:pt idx="0">
                  <c:v>0</c:v>
                </c:pt>
                <c:pt idx="1">
                  <c:v>0</c:v>
                </c:pt>
                <c:pt idx="2">
                  <c:v>0</c:v>
                </c:pt>
                <c:pt idx="3">
                  <c:v>-20194.29</c:v>
                </c:pt>
              </c:numCache>
            </c:numRef>
          </c:val>
          <c:extLst>
            <c:ext xmlns:c16="http://schemas.microsoft.com/office/drawing/2014/chart" uri="{C3380CC4-5D6E-409C-BE32-E72D297353CC}">
              <c16:uniqueId val="{00000000-4E1A-A741-B680-E52666B15080}"/>
            </c:ext>
          </c:extLst>
        </c:ser>
        <c:dLbls>
          <c:showLegendKey val="0"/>
          <c:showVal val="0"/>
          <c:showCatName val="0"/>
          <c:showSerName val="0"/>
          <c:showPercent val="0"/>
          <c:showBubbleSize val="0"/>
        </c:dLbls>
        <c:gapWidth val="150"/>
        <c:axId val="108020096"/>
        <c:axId val="108021632"/>
      </c:barChart>
      <c:lineChart>
        <c:grouping val="standard"/>
        <c:varyColors val="0"/>
        <c:ser>
          <c:idx val="1"/>
          <c:order val="1"/>
          <c:tx>
            <c:strRef>
              <c:f>Auxiliar!$G$36</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Auxiliar!$I$34:$L$34</c:f>
              <c:numCache>
                <c:formatCode>General</c:formatCode>
                <c:ptCount val="4"/>
                <c:pt idx="0">
                  <c:v>2018</c:v>
                </c:pt>
                <c:pt idx="1">
                  <c:v>2019</c:v>
                </c:pt>
                <c:pt idx="2">
                  <c:v>2020</c:v>
                </c:pt>
                <c:pt idx="3">
                  <c:v>2021</c:v>
                </c:pt>
              </c:numCache>
            </c:numRef>
          </c:cat>
          <c:val>
            <c:numRef>
              <c:f>Auxiliar!$I$36:$L$36</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4E1A-A741-B680-E52666B15080}"/>
            </c:ext>
          </c:extLst>
        </c:ser>
        <c:dLbls>
          <c:showLegendKey val="0"/>
          <c:showVal val="0"/>
          <c:showCatName val="0"/>
          <c:showSerName val="0"/>
          <c:showPercent val="0"/>
          <c:showBubbleSize val="0"/>
        </c:dLbls>
        <c:marker val="1"/>
        <c:smooth val="0"/>
        <c:axId val="108050304"/>
        <c:axId val="108048384"/>
      </c:lineChart>
      <c:catAx>
        <c:axId val="108020096"/>
        <c:scaling>
          <c:orientation val="minMax"/>
        </c:scaling>
        <c:delete val="0"/>
        <c:axPos val="b"/>
        <c:numFmt formatCode="General" sourceLinked="1"/>
        <c:majorTickMark val="out"/>
        <c:minorTickMark val="none"/>
        <c:tickLblPos val="nextTo"/>
        <c:txPr>
          <a:bodyPr/>
          <a:lstStyle/>
          <a:p>
            <a:pPr>
              <a:defRPr b="1"/>
            </a:pPr>
            <a:endParaRPr lang="en-US"/>
          </a:p>
        </c:txPr>
        <c:crossAx val="108021632"/>
        <c:crosses val="autoZero"/>
        <c:auto val="1"/>
        <c:lblAlgn val="ctr"/>
        <c:lblOffset val="100"/>
        <c:noMultiLvlLbl val="0"/>
      </c:catAx>
      <c:valAx>
        <c:axId val="10802163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8020096"/>
        <c:crosses val="autoZero"/>
        <c:crossBetween val="between"/>
      </c:valAx>
      <c:valAx>
        <c:axId val="108048384"/>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8050304"/>
        <c:crosses val="max"/>
        <c:crossBetween val="between"/>
      </c:valAx>
      <c:catAx>
        <c:axId val="108050304"/>
        <c:scaling>
          <c:orientation val="minMax"/>
        </c:scaling>
        <c:delete val="1"/>
        <c:axPos val="b"/>
        <c:numFmt formatCode="General" sourceLinked="1"/>
        <c:majorTickMark val="out"/>
        <c:minorTickMark val="none"/>
        <c:tickLblPos val="none"/>
        <c:crossAx val="108048384"/>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Resultados Líquidos</a:t>
            </a:r>
            <a:endParaRPr lang="en-US" sz="1200"/>
          </a:p>
        </c:rich>
      </c:tx>
      <c:layout>
        <c:manualLayout>
          <c:xMode val="edge"/>
          <c:yMode val="edge"/>
          <c:x val="5.6985208230222226E-2"/>
          <c:y val="2.1052631578947368E-2"/>
        </c:manualLayout>
      </c:layout>
      <c:overlay val="0"/>
    </c:title>
    <c:autoTitleDeleted val="0"/>
    <c:plotArea>
      <c:layout/>
      <c:barChart>
        <c:barDir val="col"/>
        <c:grouping val="clustered"/>
        <c:varyColors val="0"/>
        <c:ser>
          <c:idx val="0"/>
          <c:order val="0"/>
          <c:tx>
            <c:strRef>
              <c:f>Auxiliar!$G$39</c:f>
              <c:strCache>
                <c:ptCount val="1"/>
                <c:pt idx="0">
                  <c:v>Resultados Líquidos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Auxiliar!$I$38:$L$38</c:f>
              <c:numCache>
                <c:formatCode>General</c:formatCode>
                <c:ptCount val="4"/>
                <c:pt idx="0">
                  <c:v>2018</c:v>
                </c:pt>
                <c:pt idx="1">
                  <c:v>2019</c:v>
                </c:pt>
                <c:pt idx="2">
                  <c:v>2020</c:v>
                </c:pt>
                <c:pt idx="3">
                  <c:v>2021</c:v>
                </c:pt>
              </c:numCache>
            </c:numRef>
          </c:cat>
          <c:val>
            <c:numRef>
              <c:f>Auxiliar!$I$39:$L$39</c:f>
              <c:numCache>
                <c:formatCode>#,##0;\(#,##0\)</c:formatCode>
                <c:ptCount val="4"/>
                <c:pt idx="0">
                  <c:v>0</c:v>
                </c:pt>
                <c:pt idx="1">
                  <c:v>0</c:v>
                </c:pt>
                <c:pt idx="2">
                  <c:v>0</c:v>
                </c:pt>
                <c:pt idx="3">
                  <c:v>-6409879.8300000001</c:v>
                </c:pt>
              </c:numCache>
            </c:numRef>
          </c:val>
          <c:extLst>
            <c:ext xmlns:c16="http://schemas.microsoft.com/office/drawing/2014/chart" uri="{C3380CC4-5D6E-409C-BE32-E72D297353CC}">
              <c16:uniqueId val="{00000000-BCF0-F64B-A9ED-29B22772C469}"/>
            </c:ext>
          </c:extLst>
        </c:ser>
        <c:dLbls>
          <c:showLegendKey val="0"/>
          <c:showVal val="0"/>
          <c:showCatName val="0"/>
          <c:showSerName val="0"/>
          <c:showPercent val="0"/>
          <c:showBubbleSize val="0"/>
        </c:dLbls>
        <c:gapWidth val="150"/>
        <c:axId val="108082688"/>
        <c:axId val="108084224"/>
      </c:barChart>
      <c:lineChart>
        <c:grouping val="standard"/>
        <c:varyColors val="0"/>
        <c:ser>
          <c:idx val="1"/>
          <c:order val="1"/>
          <c:tx>
            <c:strRef>
              <c:f>Auxiliar!$G$40</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Auxiliar!$I$38:$L$38</c:f>
              <c:numCache>
                <c:formatCode>General</c:formatCode>
                <c:ptCount val="4"/>
                <c:pt idx="0">
                  <c:v>2018</c:v>
                </c:pt>
                <c:pt idx="1">
                  <c:v>2019</c:v>
                </c:pt>
                <c:pt idx="2">
                  <c:v>2020</c:v>
                </c:pt>
                <c:pt idx="3">
                  <c:v>2021</c:v>
                </c:pt>
              </c:numCache>
            </c:numRef>
          </c:cat>
          <c:val>
            <c:numRef>
              <c:f>Auxiliar!$I$40:$L$40</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BCF0-F64B-A9ED-29B22772C469}"/>
            </c:ext>
          </c:extLst>
        </c:ser>
        <c:dLbls>
          <c:showLegendKey val="0"/>
          <c:showVal val="0"/>
          <c:showCatName val="0"/>
          <c:showSerName val="0"/>
          <c:showPercent val="0"/>
          <c:showBubbleSize val="0"/>
        </c:dLbls>
        <c:marker val="1"/>
        <c:smooth val="0"/>
        <c:axId val="108104704"/>
        <c:axId val="108102784"/>
      </c:lineChart>
      <c:catAx>
        <c:axId val="108082688"/>
        <c:scaling>
          <c:orientation val="minMax"/>
        </c:scaling>
        <c:delete val="0"/>
        <c:axPos val="b"/>
        <c:numFmt formatCode="General" sourceLinked="1"/>
        <c:majorTickMark val="out"/>
        <c:minorTickMark val="none"/>
        <c:tickLblPos val="nextTo"/>
        <c:txPr>
          <a:bodyPr/>
          <a:lstStyle/>
          <a:p>
            <a:pPr>
              <a:defRPr b="1"/>
            </a:pPr>
            <a:endParaRPr lang="en-US"/>
          </a:p>
        </c:txPr>
        <c:crossAx val="108084224"/>
        <c:crosses val="autoZero"/>
        <c:auto val="1"/>
        <c:lblAlgn val="ctr"/>
        <c:lblOffset val="100"/>
        <c:noMultiLvlLbl val="0"/>
      </c:catAx>
      <c:valAx>
        <c:axId val="108084224"/>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08082688"/>
        <c:crosses val="autoZero"/>
        <c:crossBetween val="between"/>
      </c:valAx>
      <c:valAx>
        <c:axId val="108102784"/>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08104704"/>
        <c:crosses val="max"/>
        <c:crossBetween val="between"/>
      </c:valAx>
      <c:catAx>
        <c:axId val="108104704"/>
        <c:scaling>
          <c:orientation val="minMax"/>
        </c:scaling>
        <c:delete val="1"/>
        <c:axPos val="b"/>
        <c:numFmt formatCode="General" sourceLinked="1"/>
        <c:majorTickMark val="out"/>
        <c:minorTickMark val="none"/>
        <c:tickLblPos val="none"/>
        <c:crossAx val="108102784"/>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solidFill>
                  <a:schemeClr val="accent5">
                    <a:lumMod val="50000"/>
                  </a:schemeClr>
                </a:solidFill>
              </a:defRPr>
            </a:pPr>
            <a:r>
              <a:rPr lang="en-GB">
                <a:solidFill>
                  <a:schemeClr val="accent5">
                    <a:lumMod val="50000"/>
                  </a:schemeClr>
                </a:solidFill>
              </a:rPr>
              <a:t>ACTIVOS</a:t>
            </a:r>
            <a:r>
              <a:rPr lang="en-GB" baseline="0">
                <a:solidFill>
                  <a:schemeClr val="accent5">
                    <a:lumMod val="50000"/>
                  </a:schemeClr>
                </a:solidFill>
              </a:rPr>
              <a:t> E FINANCIAMENTO DOS ACTIVOS</a:t>
            </a:r>
            <a:endParaRPr lang="en-GB">
              <a:solidFill>
                <a:schemeClr val="accent5">
                  <a:lumMod val="50000"/>
                </a:schemeClr>
              </a:solidFill>
            </a:endParaRPr>
          </a:p>
        </c:rich>
      </c:tx>
      <c:overlay val="0"/>
    </c:title>
    <c:autoTitleDeleted val="0"/>
    <c:view3D>
      <c:rotX val="10"/>
      <c:rotY val="0"/>
      <c:rAngAx val="1"/>
    </c:view3D>
    <c:floor>
      <c:thickness val="0"/>
      <c:spPr>
        <a:solidFill>
          <a:schemeClr val="bg1">
            <a:lumMod val="75000"/>
          </a:schemeClr>
        </a:solidFill>
      </c:spPr>
    </c:floor>
    <c:sideWall>
      <c:thickness val="0"/>
      <c:spPr>
        <a:solidFill>
          <a:schemeClr val="accent1">
            <a:lumMod val="20000"/>
            <a:lumOff val="80000"/>
          </a:schemeClr>
        </a:solidFill>
      </c:spPr>
    </c:sideWall>
    <c:backWall>
      <c:thickness val="0"/>
      <c:spPr>
        <a:solidFill>
          <a:schemeClr val="accent1">
            <a:lumMod val="20000"/>
            <a:lumOff val="80000"/>
          </a:schemeClr>
        </a:solidFill>
      </c:spPr>
    </c:backWall>
    <c:plotArea>
      <c:layout>
        <c:manualLayout>
          <c:layoutTarget val="inner"/>
          <c:xMode val="edge"/>
          <c:yMode val="edge"/>
          <c:x val="8.53418657116021E-2"/>
          <c:y val="0.11504271678202622"/>
          <c:w val="0.89013193584915595"/>
          <c:h val="0.62485990688850634"/>
        </c:manualLayout>
      </c:layout>
      <c:bar3DChart>
        <c:barDir val="col"/>
        <c:grouping val="stacked"/>
        <c:varyColors val="0"/>
        <c:ser>
          <c:idx val="0"/>
          <c:order val="0"/>
          <c:tx>
            <c:strRef>
              <c:f>Auxiliar!$P$59</c:f>
              <c:strCache>
                <c:ptCount val="1"/>
                <c:pt idx="0">
                  <c:v>Ativo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Auxiliar!$Q$59:$U$59</c:f>
              <c:numCache>
                <c:formatCode>0.00%</c:formatCode>
                <c:ptCount val="5"/>
                <c:pt idx="0">
                  <c:v>0</c:v>
                </c:pt>
                <c:pt idx="3">
                  <c:v>1.0400615937257254</c:v>
                </c:pt>
              </c:numCache>
            </c:numRef>
          </c:val>
          <c:extLst>
            <c:ext xmlns:c16="http://schemas.microsoft.com/office/drawing/2014/chart" uri="{C3380CC4-5D6E-409C-BE32-E72D297353CC}">
              <c16:uniqueId val="{00000000-7B76-48A9-87FD-5308E9E46F75}"/>
            </c:ext>
          </c:extLst>
        </c:ser>
        <c:ser>
          <c:idx val="1"/>
          <c:order val="1"/>
          <c:tx>
            <c:strRef>
              <c:f>Auxiliar!$P$60</c:f>
              <c:strCache>
                <c:ptCount val="1"/>
                <c:pt idx="0">
                  <c:v>Ativo Não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Auxiliar!$Q$60:$U$60</c:f>
              <c:numCache>
                <c:formatCode>0.00%</c:formatCode>
                <c:ptCount val="5"/>
                <c:pt idx="0">
                  <c:v>0</c:v>
                </c:pt>
                <c:pt idx="3">
                  <c:v>-4.0061593725725479E-2</c:v>
                </c:pt>
              </c:numCache>
            </c:numRef>
          </c:val>
          <c:extLst>
            <c:ext xmlns:c16="http://schemas.microsoft.com/office/drawing/2014/chart" uri="{C3380CC4-5D6E-409C-BE32-E72D297353CC}">
              <c16:uniqueId val="{00000001-7B76-48A9-87FD-5308E9E46F75}"/>
            </c:ext>
          </c:extLst>
        </c:ser>
        <c:ser>
          <c:idx val="2"/>
          <c:order val="2"/>
          <c:tx>
            <c:strRef>
              <c:f>Auxiliar!$P$61</c:f>
              <c:strCache>
                <c:ptCount val="1"/>
                <c:pt idx="0">
                  <c:v>Passivo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Auxiliar!$Q$61:$U$61</c:f>
              <c:numCache>
                <c:formatCode>0.00%</c:formatCode>
                <c:ptCount val="5"/>
                <c:pt idx="1">
                  <c:v>0</c:v>
                </c:pt>
                <c:pt idx="4">
                  <c:v>-1.7074983159762827</c:v>
                </c:pt>
              </c:numCache>
            </c:numRef>
          </c:val>
          <c:extLst>
            <c:ext xmlns:c16="http://schemas.microsoft.com/office/drawing/2014/chart" uri="{C3380CC4-5D6E-409C-BE32-E72D297353CC}">
              <c16:uniqueId val="{00000002-7B76-48A9-87FD-5308E9E46F75}"/>
            </c:ext>
          </c:extLst>
        </c:ser>
        <c:ser>
          <c:idx val="3"/>
          <c:order val="3"/>
          <c:tx>
            <c:strRef>
              <c:f>Auxiliar!$P$62</c:f>
              <c:strCache>
                <c:ptCount val="1"/>
                <c:pt idx="0">
                  <c:v>Passivo Não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Auxiliar!$Q$62:$U$62</c:f>
              <c:numCache>
                <c:formatCode>0.00%</c:formatCode>
                <c:ptCount val="5"/>
                <c:pt idx="1">
                  <c:v>0</c:v>
                </c:pt>
                <c:pt idx="4">
                  <c:v>0</c:v>
                </c:pt>
              </c:numCache>
            </c:numRef>
          </c:val>
          <c:extLst>
            <c:ext xmlns:c16="http://schemas.microsoft.com/office/drawing/2014/chart" uri="{C3380CC4-5D6E-409C-BE32-E72D297353CC}">
              <c16:uniqueId val="{00000003-7B76-48A9-87FD-5308E9E46F75}"/>
            </c:ext>
          </c:extLst>
        </c:ser>
        <c:ser>
          <c:idx val="4"/>
          <c:order val="4"/>
          <c:tx>
            <c:strRef>
              <c:f>Auxiliar!$P$63</c:f>
              <c:strCache>
                <c:ptCount val="1"/>
                <c:pt idx="0">
                  <c:v>Capital Próprio</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Auxiliar!$Q$63:$U$63</c:f>
              <c:numCache>
                <c:formatCode>0.00%</c:formatCode>
                <c:ptCount val="5"/>
                <c:pt idx="1">
                  <c:v>0</c:v>
                </c:pt>
                <c:pt idx="4">
                  <c:v>2.7074983159762827</c:v>
                </c:pt>
              </c:numCache>
            </c:numRef>
          </c:val>
          <c:extLst>
            <c:ext xmlns:c16="http://schemas.microsoft.com/office/drawing/2014/chart" uri="{C3380CC4-5D6E-409C-BE32-E72D297353CC}">
              <c16:uniqueId val="{00000004-7B76-48A9-87FD-5308E9E46F75}"/>
            </c:ext>
          </c:extLst>
        </c:ser>
        <c:dLbls>
          <c:showLegendKey val="0"/>
          <c:showVal val="1"/>
          <c:showCatName val="0"/>
          <c:showSerName val="0"/>
          <c:showPercent val="0"/>
          <c:showBubbleSize val="0"/>
        </c:dLbls>
        <c:gapWidth val="0"/>
        <c:gapDepth val="0"/>
        <c:shape val="cylinder"/>
        <c:axId val="106483712"/>
        <c:axId val="106485248"/>
        <c:axId val="0"/>
      </c:bar3DChart>
      <c:catAx>
        <c:axId val="106483712"/>
        <c:scaling>
          <c:orientation val="minMax"/>
        </c:scaling>
        <c:delete val="0"/>
        <c:axPos val="b"/>
        <c:majorGridlines/>
        <c:numFmt formatCode="General" sourceLinked="0"/>
        <c:majorTickMark val="out"/>
        <c:minorTickMark val="none"/>
        <c:tickLblPos val="nextTo"/>
        <c:txPr>
          <a:bodyPr/>
          <a:lstStyle/>
          <a:p>
            <a:pPr>
              <a:defRPr b="1">
                <a:solidFill>
                  <a:schemeClr val="tx2"/>
                </a:solidFill>
                <a:latin typeface="Lucida Sans Unicode" panose="020B0602030504020204" pitchFamily="34" charset="0"/>
                <a:cs typeface="Lucida Sans Unicode" panose="020B0602030504020204" pitchFamily="34" charset="0"/>
              </a:defRPr>
            </a:pPr>
            <a:endParaRPr lang="en-US"/>
          </a:p>
        </c:txPr>
        <c:crossAx val="106485248"/>
        <c:crosses val="autoZero"/>
        <c:auto val="1"/>
        <c:lblAlgn val="ctr"/>
        <c:lblOffset val="100"/>
        <c:noMultiLvlLbl val="0"/>
      </c:catAx>
      <c:valAx>
        <c:axId val="106485248"/>
        <c:scaling>
          <c:orientation val="minMax"/>
        </c:scaling>
        <c:delete val="0"/>
        <c:axPos val="l"/>
        <c:majorGridlines>
          <c:spPr>
            <a:ln>
              <a:noFill/>
            </a:ln>
          </c:spPr>
        </c:majorGridlines>
        <c:numFmt formatCode="0.00%" sourceLinked="1"/>
        <c:majorTickMark val="out"/>
        <c:minorTickMark val="none"/>
        <c:tickLblPos val="nextTo"/>
        <c:txPr>
          <a:bodyPr/>
          <a:lstStyle/>
          <a:p>
            <a:pPr>
              <a:defRPr b="1">
                <a:solidFill>
                  <a:schemeClr val="tx2"/>
                </a:solidFill>
                <a:latin typeface="Lucida Sans Unicode" panose="020B0602030504020204" pitchFamily="34" charset="0"/>
                <a:cs typeface="Lucida Sans Unicode" panose="020B0602030504020204" pitchFamily="34" charset="0"/>
              </a:defRPr>
            </a:pPr>
            <a:endParaRPr lang="en-US"/>
          </a:p>
        </c:txPr>
        <c:crossAx val="106483712"/>
        <c:crosses val="autoZero"/>
        <c:crossBetween val="between"/>
      </c:valAx>
    </c:plotArea>
    <c:legend>
      <c:legendPos val="b"/>
      <c:layout>
        <c:manualLayout>
          <c:xMode val="edge"/>
          <c:yMode val="edge"/>
          <c:x val="8.5138074779192149E-2"/>
          <c:y val="0.8827782953361939"/>
          <c:w val="0.89033576488557664"/>
          <c:h val="0.10546012868077281"/>
        </c:manualLayout>
      </c:layout>
      <c:overlay val="0"/>
      <c:txPr>
        <a:bodyPr/>
        <a:lstStyle/>
        <a:p>
          <a:pPr>
            <a:defRPr sz="900">
              <a:solidFill>
                <a:schemeClr val="tx2"/>
              </a:solidFill>
              <a:latin typeface="Lucida Sans Unicode" panose="020B0602030504020204" pitchFamily="34" charset="0"/>
              <a:cs typeface="Lucida Sans Unicode" panose="020B0602030504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'DETALHE FST'!$H$10</c:f>
          <c:strCache>
            <c:ptCount val="1"/>
            <c:pt idx="0">
              <c:v>2021</c:v>
            </c:pt>
          </c:strCache>
        </c:strRef>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565387364927467"/>
          <c:y val="0.36328292873425422"/>
          <c:w val="0.31583531409606247"/>
          <c:h val="0.55571715300293345"/>
        </c:manualLayout>
      </c:layout>
      <c:pieChart>
        <c:varyColors val="1"/>
        <c:ser>
          <c:idx val="0"/>
          <c:order val="0"/>
          <c:dPt>
            <c:idx val="0"/>
            <c:bubble3D val="0"/>
            <c:explosion val="2"/>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EBD-4A18-B1D4-B6FDF4726838}"/>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EBD-4A18-B1D4-B6FDF4726838}"/>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EBD-4A18-B1D4-B6FDF4726838}"/>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EBD-4A18-B1D4-B6FDF4726838}"/>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EBD-4A18-B1D4-B6FDF4726838}"/>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EBD-4A18-B1D4-B6FDF4726838}"/>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95FE-4F69-A2AE-127F3804CAD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95FE-4F69-A2AE-127F3804CAD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95FE-4F69-A2AE-127F3804CADB}"/>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95FE-4F69-A2AE-127F3804CADB}"/>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EBD-4A18-B1D4-B6FDF4726838}"/>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EBD-4A18-B1D4-B6FDF4726838}"/>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EBD-4A18-B1D4-B6FDF4726838}"/>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B-95FE-4F69-A2AE-127F3804CADB}"/>
              </c:ext>
            </c:extLst>
          </c:dPt>
          <c:dPt>
            <c:idx val="14"/>
            <c:bubble3D val="0"/>
            <c:spPr>
              <a:solidFill>
                <a:schemeClr val="accent3">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D-95FE-4F69-A2AE-127F3804CADB}"/>
              </c:ext>
            </c:extLst>
          </c:dPt>
          <c:dPt>
            <c:idx val="15"/>
            <c:bubble3D val="0"/>
            <c:spPr>
              <a:solidFill>
                <a:schemeClr val="accent4">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F-95FE-4F69-A2AE-127F3804CADB}"/>
              </c:ext>
            </c:extLst>
          </c:dPt>
          <c:dLbls>
            <c:dLbl>
              <c:idx val="0"/>
              <c:layout>
                <c:manualLayout>
                  <c:x val="0.11796246648793553"/>
                  <c:y val="0.235710716056639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EBD-4A18-B1D4-B6FDF4726838}"/>
                </c:ext>
              </c:extLst>
            </c:dLbl>
            <c:dLbl>
              <c:idx val="1"/>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1EBD-4A18-B1D4-B6FDF4726838}"/>
                </c:ext>
              </c:extLst>
            </c:dLbl>
            <c:dLbl>
              <c:idx val="2"/>
              <c:layout>
                <c:manualLayout>
                  <c:x val="-1.6117395355079188E-2"/>
                  <c:y val="8.5519803104196754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1EBD-4A18-B1D4-B6FDF4726838}"/>
                </c:ext>
              </c:extLst>
            </c:dLbl>
            <c:dLbl>
              <c:idx val="3"/>
              <c:layout>
                <c:manualLayout>
                  <c:x val="-0.11894662134784774"/>
                  <c:y val="0.21934446775467945"/>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1EBD-4A18-B1D4-B6FDF4726838}"/>
                </c:ext>
              </c:extLst>
            </c:dLbl>
            <c:dLbl>
              <c:idx val="4"/>
              <c:layout>
                <c:manualLayout>
                  <c:x val="-0.1269095197908521"/>
                  <c:y val="0.1872586255437793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9-1EBD-4A18-B1D4-B6FDF4726838}"/>
                </c:ext>
              </c:extLst>
            </c:dLbl>
            <c:dLbl>
              <c:idx val="5"/>
              <c:layout>
                <c:manualLayout>
                  <c:x val="-0.14061407515800939"/>
                  <c:y val="0.14907300947243177"/>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6"/>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B-1EBD-4A18-B1D4-B6FDF4726838}"/>
                </c:ext>
              </c:extLst>
            </c:dLbl>
            <c:dLbl>
              <c:idx val="6"/>
              <c:layout>
                <c:manualLayout>
                  <c:x val="-0.27718775566033599"/>
                  <c:y val="0.1250290167016319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1">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95FE-4F69-A2AE-127F3804CADB}"/>
                </c:ext>
              </c:extLst>
            </c:dLbl>
            <c:dLbl>
              <c:idx val="7"/>
              <c:layout>
                <c:manualLayout>
                  <c:x val="-0.19783956209013695"/>
                  <c:y val="5.552534306914058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F-95FE-4F69-A2AE-127F3804CADB}"/>
                </c:ext>
              </c:extLst>
            </c:dLbl>
            <c:dLbl>
              <c:idx val="8"/>
              <c:layout>
                <c:manualLayout>
                  <c:x val="-0.16514951855206889"/>
                  <c:y val="1.171639012251496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1-95FE-4F69-A2AE-127F3804CADB}"/>
                </c:ext>
              </c:extLst>
            </c:dLbl>
            <c:dLbl>
              <c:idx val="9"/>
              <c:layout>
                <c:manualLayout>
                  <c:x val="-0.25153978171607605"/>
                  <c:y val="-7.152149233940913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95FE-4F69-A2AE-127F3804CADB}"/>
                </c:ext>
              </c:extLst>
            </c:dLbl>
            <c:dLbl>
              <c:idx val="10"/>
              <c:layout>
                <c:manualLayout>
                  <c:x val="-0.11862250462659996"/>
                  <c:y val="-8.7846417962824996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5">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1EBD-4A18-B1D4-B6FDF4726838}"/>
                </c:ext>
              </c:extLst>
            </c:dLbl>
            <c:dLbl>
              <c:idx val="11"/>
              <c:layout>
                <c:manualLayout>
                  <c:x val="-0.11288881662653526"/>
                  <c:y val="-0.2147356710169014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accent6">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4601867981841501"/>
                      <c:h val="6.1111989029053015E-2"/>
                    </c:manualLayout>
                  </c15:layout>
                </c:ext>
                <c:ext xmlns:c16="http://schemas.microsoft.com/office/drawing/2014/chart" uri="{C3380CC4-5D6E-409C-BE32-E72D297353CC}">
                  <c16:uniqueId val="{00000007-1EBD-4A18-B1D4-B6FDF4726838}"/>
                </c:ext>
              </c:extLst>
            </c:dLbl>
            <c:dLbl>
              <c:idx val="12"/>
              <c:layout>
                <c:manualLayout>
                  <c:x val="6.0425871718782082E-2"/>
                  <c:y val="-0.11670068405386907"/>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accent1">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7577817522072275"/>
                      <c:h val="5.9654160876949205E-2"/>
                    </c:manualLayout>
                  </c15:layout>
                </c:ext>
                <c:ext xmlns:c16="http://schemas.microsoft.com/office/drawing/2014/chart" uri="{C3380CC4-5D6E-409C-BE32-E72D297353CC}">
                  <c16:uniqueId val="{00000009-1EBD-4A18-B1D4-B6FDF4726838}"/>
                </c:ext>
              </c:extLst>
            </c:dLbl>
            <c:dLbl>
              <c:idx val="13"/>
              <c:layout>
                <c:manualLayout>
                  <c:x val="0.28239499553172476"/>
                  <c:y val="-0.14951783900781451"/>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B-95FE-4F69-A2AE-127F3804CADB}"/>
                </c:ext>
              </c:extLst>
            </c:dLbl>
            <c:dLbl>
              <c:idx val="14"/>
              <c:layout>
                <c:manualLayout>
                  <c:x val="0.25737265415549598"/>
                  <c:y val="-1.61334274768262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D-95FE-4F69-A2AE-127F3804CADB}"/>
                </c:ext>
              </c:extLst>
            </c:dLbl>
            <c:dLbl>
              <c:idx val="15"/>
              <c:layout>
                <c:manualLayout>
                  <c:x val="0.27524575513851651"/>
                  <c:y val="0.11889914399818201"/>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F-95FE-4F69-A2AE-127F3804CADB}"/>
                </c:ext>
              </c:extLst>
            </c:dLbl>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'DETALHE FST'!$C$12:$C$27</c:f>
              <c:strCache>
                <c:ptCount val="15"/>
                <c:pt idx="0">
                  <c:v>Trabalhos especializados</c:v>
                </c:pt>
                <c:pt idx="1">
                  <c:v>Rendas e alugueres</c:v>
                </c:pt>
                <c:pt idx="2">
                  <c:v>Despesas de representação</c:v>
                </c:pt>
                <c:pt idx="3">
                  <c:v>Manutenção e reparação</c:v>
                </c:pt>
                <c:pt idx="4">
                  <c:v>Combustíveis </c:v>
                </c:pt>
                <c:pt idx="5">
                  <c:v>Outros fornecimentos e serviços</c:v>
                </c:pt>
                <c:pt idx="6">
                  <c:v>Comunicações</c:v>
                </c:pt>
                <c:pt idx="7">
                  <c:v>Ferramentas e utensílios de desgaste rápido</c:v>
                </c:pt>
                <c:pt idx="8">
                  <c:v>Livros e documentação técnica</c:v>
                </c:pt>
                <c:pt idx="9">
                  <c:v>Material de Escritório</c:v>
                </c:pt>
                <c:pt idx="10">
                  <c:v>Publicidade e propaganda</c:v>
                </c:pt>
                <c:pt idx="11">
                  <c:v>Electricidade</c:v>
                </c:pt>
                <c:pt idx="12">
                  <c:v>Deslocações e estadias</c:v>
                </c:pt>
                <c:pt idx="13">
                  <c:v>Limpeza, higiene e conforto</c:v>
                </c:pt>
                <c:pt idx="14">
                  <c:v>Material de Manutenção e Reparação</c:v>
                </c:pt>
              </c:strCache>
            </c:strRef>
          </c:cat>
          <c:val>
            <c:numRef>
              <c:f>'DETALHE FST'!$I$12:$I$27</c:f>
              <c:numCache>
                <c:formatCode>0.00%;\(0.00%\)</c:formatCode>
                <c:ptCount val="16"/>
                <c:pt idx="0">
                  <c:v>0.31648213839852901</c:v>
                </c:pt>
                <c:pt idx="1">
                  <c:v>0.19875162973361044</c:v>
                </c:pt>
                <c:pt idx="2">
                  <c:v>0.17903549954367345</c:v>
                </c:pt>
                <c:pt idx="3">
                  <c:v>7.4166978872723555E-2</c:v>
                </c:pt>
                <c:pt idx="4">
                  <c:v>6.7258142044193087E-2</c:v>
                </c:pt>
                <c:pt idx="5">
                  <c:v>6.5371809804962322E-2</c:v>
                </c:pt>
                <c:pt idx="6">
                  <c:v>4.2432649242011226E-2</c:v>
                </c:pt>
                <c:pt idx="7">
                  <c:v>1.5282603629600369E-2</c:v>
                </c:pt>
                <c:pt idx="8">
                  <c:v>1.405742586670272E-2</c:v>
                </c:pt>
                <c:pt idx="9">
                  <c:v>8.8968661094512985E-3</c:v>
                </c:pt>
                <c:pt idx="10">
                  <c:v>5.7016919315346229E-3</c:v>
                </c:pt>
                <c:pt idx="11">
                  <c:v>5.086825747095393E-3</c:v>
                </c:pt>
                <c:pt idx="12">
                  <c:v>4.759844398465541E-3</c:v>
                </c:pt>
                <c:pt idx="13">
                  <c:v>2.2491881386724351E-3</c:v>
                </c:pt>
                <c:pt idx="14">
                  <c:v>4.6670653877453031E-4</c:v>
                </c:pt>
                <c:pt idx="15">
                  <c:v>0</c:v>
                </c:pt>
              </c:numCache>
            </c:numRef>
          </c:val>
          <c:extLst>
            <c:ext xmlns:c16="http://schemas.microsoft.com/office/drawing/2014/chart" uri="{C3380CC4-5D6E-409C-BE32-E72D297353CC}">
              <c16:uniqueId val="{0000000C-1EBD-4A18-B1D4-B6FDF4726838}"/>
            </c:ext>
          </c:extLst>
        </c:ser>
        <c:dLbls>
          <c:dLblPos val="outEnd"/>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Evolução Endividamento</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pt-PT"/>
        </a:p>
      </c:txPr>
    </c:title>
    <c:autoTitleDeleted val="0"/>
    <c:plotArea>
      <c:layout/>
      <c:lineChart>
        <c:grouping val="standard"/>
        <c:varyColors val="0"/>
        <c:ser>
          <c:idx val="0"/>
          <c:order val="0"/>
          <c:tx>
            <c:strRef>
              <c:f>ENDIVIDAMENTO!$B$13</c:f>
              <c:strCache>
                <c:ptCount val="1"/>
                <c:pt idx="0">
                  <c:v>Empréstimos Curto Prazo</c:v>
                </c:pt>
              </c:strCache>
            </c:strRef>
          </c:tx>
          <c:spPr>
            <a:ln w="22225" cap="rnd">
              <a:solidFill>
                <a:schemeClr val="accent1"/>
              </a:solidFill>
            </a:ln>
            <a:effectLst>
              <a:glow rad="139700">
                <a:schemeClr val="accent1">
                  <a:satMod val="175000"/>
                  <a:alpha val="14000"/>
                </a:schemeClr>
              </a:glow>
            </a:effectLst>
          </c:spPr>
          <c:marker>
            <c:symbol val="none"/>
          </c:marker>
          <c:cat>
            <c:numRef>
              <c:f>ENDIVIDAMENTO!$C$10:$G$10</c:f>
              <c:numCache>
                <c:formatCode>General</c:formatCode>
                <c:ptCount val="5"/>
                <c:pt idx="0">
                  <c:v>2017</c:v>
                </c:pt>
                <c:pt idx="1">
                  <c:v>2018</c:v>
                </c:pt>
                <c:pt idx="2">
                  <c:v>2019</c:v>
                </c:pt>
                <c:pt idx="3">
                  <c:v>2020</c:v>
                </c:pt>
                <c:pt idx="4">
                  <c:v>2021</c:v>
                </c:pt>
              </c:numCache>
            </c:numRef>
          </c:cat>
          <c:val>
            <c:numRef>
              <c:f>ENDIVIDAMENTO!$C$13:$G$13</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BA6-8846-9B24-212D7441D658}"/>
            </c:ext>
          </c:extLst>
        </c:ser>
        <c:ser>
          <c:idx val="1"/>
          <c:order val="1"/>
          <c:tx>
            <c:strRef>
              <c:f>ENDIVIDAMENTO!$B$14</c:f>
              <c:strCache>
                <c:ptCount val="1"/>
                <c:pt idx="0">
                  <c:v>Empréstimos Médio / Longo Prazo</c:v>
                </c:pt>
              </c:strCache>
            </c:strRef>
          </c:tx>
          <c:spPr>
            <a:ln w="22225" cap="rnd">
              <a:solidFill>
                <a:schemeClr val="accent2"/>
              </a:solidFill>
            </a:ln>
            <a:effectLst>
              <a:glow rad="139700">
                <a:schemeClr val="accent2">
                  <a:satMod val="175000"/>
                  <a:alpha val="14000"/>
                </a:schemeClr>
              </a:glow>
            </a:effectLst>
          </c:spPr>
          <c:marker>
            <c:symbol val="none"/>
          </c:marker>
          <c:cat>
            <c:numRef>
              <c:f>ENDIVIDAMENTO!$C$10:$G$10</c:f>
              <c:numCache>
                <c:formatCode>General</c:formatCode>
                <c:ptCount val="5"/>
                <c:pt idx="0">
                  <c:v>2017</c:v>
                </c:pt>
                <c:pt idx="1">
                  <c:v>2018</c:v>
                </c:pt>
                <c:pt idx="2">
                  <c:v>2019</c:v>
                </c:pt>
                <c:pt idx="3">
                  <c:v>2020</c:v>
                </c:pt>
                <c:pt idx="4">
                  <c:v>2021</c:v>
                </c:pt>
              </c:numCache>
            </c:numRef>
          </c:cat>
          <c:val>
            <c:numRef>
              <c:f>ENDIVIDAMENTO!$C$14:$G$14</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3BA6-8846-9B24-212D7441D658}"/>
            </c:ext>
          </c:extLst>
        </c:ser>
        <c:dLbls>
          <c:showLegendKey val="0"/>
          <c:showVal val="0"/>
          <c:showCatName val="0"/>
          <c:showSerName val="0"/>
          <c:showPercent val="0"/>
          <c:showBubbleSize val="0"/>
        </c:dLbls>
        <c:smooth val="0"/>
        <c:axId val="106515456"/>
        <c:axId val="106517248"/>
      </c:lineChart>
      <c:catAx>
        <c:axId val="1065154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6517248"/>
        <c:crosses val="autoZero"/>
        <c:auto val="1"/>
        <c:lblAlgn val="ctr"/>
        <c:lblOffset val="100"/>
        <c:noMultiLvlLbl val="0"/>
      </c:catAx>
      <c:valAx>
        <c:axId val="1065172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6515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TOTAL</a:t>
            </a:r>
            <a:r>
              <a:rPr lang="en-US" baseline="0"/>
              <a:t> DE DIVIDENDOS PAGOS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DIVIDENDOS!$B$12</c:f>
              <c:strCache>
                <c:ptCount val="1"/>
                <c:pt idx="0">
                  <c:v>ACCIONISTA</c:v>
                </c:pt>
              </c:strCache>
            </c:strRef>
          </c:tx>
          <c:spPr>
            <a:ln w="22225" cap="rnd">
              <a:solidFill>
                <a:schemeClr val="accent4"/>
              </a:solidFill>
            </a:ln>
            <a:effectLst>
              <a:glow rad="139700">
                <a:schemeClr val="accent1">
                  <a:satMod val="175000"/>
                  <a:alpha val="14000"/>
                </a:schemeClr>
              </a:glow>
            </a:effectLst>
          </c:spPr>
          <c:marker>
            <c:symbol val="none"/>
          </c:marker>
          <c:cat>
            <c:numRef>
              <c:f>DIVIDENDOS!$D$10:$H$10</c:f>
              <c:numCache>
                <c:formatCode>General</c:formatCode>
                <c:ptCount val="5"/>
                <c:pt idx="0">
                  <c:v>2017</c:v>
                </c:pt>
                <c:pt idx="1">
                  <c:v>2018</c:v>
                </c:pt>
                <c:pt idx="2">
                  <c:v>2019</c:v>
                </c:pt>
                <c:pt idx="3">
                  <c:v>2020</c:v>
                </c:pt>
                <c:pt idx="4">
                  <c:v>2021</c:v>
                </c:pt>
              </c:numCache>
            </c:numRef>
          </c:cat>
          <c:val>
            <c:numRef>
              <c:f>DIVIDENDOS!$D$12:$H$12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485E-CA41-85C7-6A62512D066B}"/>
            </c:ext>
          </c:extLst>
        </c:ser>
        <c:dLbls>
          <c:showLegendKey val="0"/>
          <c:showVal val="0"/>
          <c:showCatName val="0"/>
          <c:showSerName val="0"/>
          <c:showPercent val="0"/>
          <c:showBubbleSize val="0"/>
        </c:dLbls>
        <c:smooth val="0"/>
        <c:axId val="108666240"/>
        <c:axId val="108688512"/>
      </c:lineChart>
      <c:catAx>
        <c:axId val="10866624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8688512"/>
        <c:crosses val="autoZero"/>
        <c:auto val="1"/>
        <c:lblAlgn val="ctr"/>
        <c:lblOffset val="100"/>
        <c:noMultiLvlLbl val="0"/>
      </c:catAx>
      <c:valAx>
        <c:axId val="10868851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8666240"/>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TOTAL</a:t>
            </a:r>
            <a:r>
              <a:rPr lang="en-US" baseline="0"/>
              <a:t> DE IMPOSTOS E CONTRIBUIÇÕES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IMPOSTOS!$B$12</c:f>
              <c:strCache>
                <c:ptCount val="1"/>
                <c:pt idx="0">
                  <c:v>IMPOSTO / CONTRIBUIÇÃO</c:v>
                </c:pt>
              </c:strCache>
            </c:strRef>
          </c:tx>
          <c:spPr>
            <a:ln w="22225" cap="rnd">
              <a:solidFill>
                <a:schemeClr val="accent4"/>
              </a:solidFill>
            </a:ln>
            <a:effectLst>
              <a:glow rad="139700">
                <a:schemeClr val="accent1">
                  <a:satMod val="175000"/>
                  <a:alpha val="14000"/>
                </a:schemeClr>
              </a:glow>
            </a:effectLst>
          </c:spPr>
          <c:marker>
            <c:symbol val="none"/>
          </c:marker>
          <c:cat>
            <c:numRef>
              <c:f>IMPOSTOS!$D$10:$H$10</c:f>
              <c:numCache>
                <c:formatCode>General</c:formatCode>
                <c:ptCount val="5"/>
                <c:pt idx="0">
                  <c:v>2017</c:v>
                </c:pt>
                <c:pt idx="1">
                  <c:v>2018</c:v>
                </c:pt>
                <c:pt idx="2">
                  <c:v>2019</c:v>
                </c:pt>
                <c:pt idx="3">
                  <c:v>2020</c:v>
                </c:pt>
                <c:pt idx="4">
                  <c:v>2021</c:v>
                </c:pt>
              </c:numCache>
            </c:numRef>
          </c:cat>
          <c:val>
            <c:numRef>
              <c:f>IMPOSTOS!$D$12:$H$12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15F7-7D49-B2C9-245FBF2A158C}"/>
            </c:ext>
          </c:extLst>
        </c:ser>
        <c:dLbls>
          <c:showLegendKey val="0"/>
          <c:showVal val="0"/>
          <c:showCatName val="0"/>
          <c:showSerName val="0"/>
          <c:showPercent val="0"/>
          <c:showBubbleSize val="0"/>
        </c:dLbls>
        <c:smooth val="0"/>
        <c:axId val="109025152"/>
        <c:axId val="109026688"/>
      </c:lineChart>
      <c:catAx>
        <c:axId val="1090251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9026688"/>
        <c:crosses val="autoZero"/>
        <c:auto val="1"/>
        <c:lblAlgn val="ctr"/>
        <c:lblOffset val="100"/>
        <c:noMultiLvlLbl val="0"/>
      </c:catAx>
      <c:valAx>
        <c:axId val="10902668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902515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Vendas de Bens e Serviços</a:t>
            </a:r>
            <a:endParaRPr lang="en-US" sz="1200"/>
          </a:p>
        </c:rich>
      </c:tx>
      <c:layout>
        <c:manualLayout>
          <c:xMode val="edge"/>
          <c:yMode val="edge"/>
          <c:x val="3.8875446171944973E-2"/>
          <c:y val="2.1052631578947368E-2"/>
        </c:manualLayout>
      </c:layout>
      <c:overlay val="0"/>
    </c:title>
    <c:autoTitleDeleted val="0"/>
    <c:plotArea>
      <c:layout/>
      <c:barChart>
        <c:barDir val="col"/>
        <c:grouping val="clustered"/>
        <c:varyColors val="0"/>
        <c:ser>
          <c:idx val="0"/>
          <c:order val="0"/>
          <c:tx>
            <c:strRef>
              <c:f>Auxiliar!$G$11</c:f>
              <c:strCache>
                <c:ptCount val="1"/>
                <c:pt idx="0">
                  <c:v>Vendas de Bens e Serviços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Auxiliar!$I$10:$L$10</c:f>
              <c:numCache>
                <c:formatCode>General</c:formatCode>
                <c:ptCount val="4"/>
                <c:pt idx="0">
                  <c:v>2018</c:v>
                </c:pt>
                <c:pt idx="1">
                  <c:v>2019</c:v>
                </c:pt>
                <c:pt idx="2">
                  <c:v>2020</c:v>
                </c:pt>
                <c:pt idx="3">
                  <c:v>2021</c:v>
                </c:pt>
              </c:numCache>
            </c:numRef>
          </c:cat>
          <c:val>
            <c:numRef>
              <c:f>Auxiliar!$I$11:$L$11</c:f>
              <c:numCache>
                <c:formatCode>#,##0;\(#,##0\)</c:formatCode>
                <c:ptCount val="4"/>
                <c:pt idx="0">
                  <c:v>0</c:v>
                </c:pt>
                <c:pt idx="1">
                  <c:v>0</c:v>
                </c:pt>
                <c:pt idx="2">
                  <c:v>0</c:v>
                </c:pt>
                <c:pt idx="3">
                  <c:v>732600</c:v>
                </c:pt>
              </c:numCache>
            </c:numRef>
          </c:val>
          <c:extLst>
            <c:ext xmlns:c16="http://schemas.microsoft.com/office/drawing/2014/chart" uri="{C3380CC4-5D6E-409C-BE32-E72D297353CC}">
              <c16:uniqueId val="{00000000-76FD-A745-BD1A-3FCA616E862D}"/>
            </c:ext>
          </c:extLst>
        </c:ser>
        <c:dLbls>
          <c:showLegendKey val="0"/>
          <c:showVal val="0"/>
          <c:showCatName val="0"/>
          <c:showSerName val="0"/>
          <c:showPercent val="0"/>
          <c:showBubbleSize val="0"/>
        </c:dLbls>
        <c:gapWidth val="150"/>
        <c:axId val="119206656"/>
        <c:axId val="119208192"/>
      </c:barChart>
      <c:lineChart>
        <c:grouping val="standard"/>
        <c:varyColors val="0"/>
        <c:ser>
          <c:idx val="1"/>
          <c:order val="1"/>
          <c:tx>
            <c:strRef>
              <c:f>Auxiliar!$G$12</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Auxiliar!$I$10:$L$10</c:f>
              <c:numCache>
                <c:formatCode>General</c:formatCode>
                <c:ptCount val="4"/>
                <c:pt idx="0">
                  <c:v>2018</c:v>
                </c:pt>
                <c:pt idx="1">
                  <c:v>2019</c:v>
                </c:pt>
                <c:pt idx="2">
                  <c:v>2020</c:v>
                </c:pt>
                <c:pt idx="3">
                  <c:v>2021</c:v>
                </c:pt>
              </c:numCache>
            </c:numRef>
          </c:cat>
          <c:val>
            <c:numRef>
              <c:f>Auxiliar!$I$12:$L$12</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76FD-A745-BD1A-3FCA616E862D}"/>
            </c:ext>
          </c:extLst>
        </c:ser>
        <c:dLbls>
          <c:showLegendKey val="0"/>
          <c:showVal val="0"/>
          <c:showCatName val="0"/>
          <c:showSerName val="0"/>
          <c:showPercent val="0"/>
          <c:showBubbleSize val="0"/>
        </c:dLbls>
        <c:marker val="1"/>
        <c:smooth val="0"/>
        <c:axId val="119286016"/>
        <c:axId val="119284096"/>
      </c:lineChart>
      <c:catAx>
        <c:axId val="119206656"/>
        <c:scaling>
          <c:orientation val="minMax"/>
        </c:scaling>
        <c:delete val="0"/>
        <c:axPos val="b"/>
        <c:numFmt formatCode="General" sourceLinked="1"/>
        <c:majorTickMark val="out"/>
        <c:minorTickMark val="none"/>
        <c:tickLblPos val="nextTo"/>
        <c:txPr>
          <a:bodyPr/>
          <a:lstStyle/>
          <a:p>
            <a:pPr>
              <a:defRPr b="1"/>
            </a:pPr>
            <a:endParaRPr lang="en-US"/>
          </a:p>
        </c:txPr>
        <c:crossAx val="119208192"/>
        <c:crosses val="autoZero"/>
        <c:auto val="1"/>
        <c:lblAlgn val="ctr"/>
        <c:lblOffset val="100"/>
        <c:noMultiLvlLbl val="0"/>
      </c:catAx>
      <c:valAx>
        <c:axId val="11920819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19206656"/>
        <c:crosses val="autoZero"/>
        <c:crossBetween val="between"/>
      </c:valAx>
      <c:valAx>
        <c:axId val="119284096"/>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19286016"/>
        <c:crosses val="max"/>
        <c:crossBetween val="between"/>
      </c:valAx>
      <c:catAx>
        <c:axId val="119286016"/>
        <c:scaling>
          <c:orientation val="minMax"/>
        </c:scaling>
        <c:delete val="1"/>
        <c:axPos val="b"/>
        <c:numFmt formatCode="General" sourceLinked="1"/>
        <c:majorTickMark val="out"/>
        <c:minorTickMark val="none"/>
        <c:tickLblPos val="none"/>
        <c:crossAx val="119284096"/>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Custo dos Inventários Vendidos ou Consumidos</a:t>
            </a:r>
            <a:endParaRPr lang="en-US" sz="1200"/>
          </a:p>
        </c:rich>
      </c:tx>
      <c:layout>
        <c:manualLayout>
          <c:xMode val="edge"/>
          <c:yMode val="edge"/>
          <c:x val="5.2457789126104569E-2"/>
          <c:y val="3.2132963988919662E-2"/>
        </c:manualLayout>
      </c:layout>
      <c:overlay val="0"/>
    </c:title>
    <c:autoTitleDeleted val="0"/>
    <c:plotArea>
      <c:layout/>
      <c:barChart>
        <c:barDir val="col"/>
        <c:grouping val="clustered"/>
        <c:varyColors val="0"/>
        <c:ser>
          <c:idx val="0"/>
          <c:order val="0"/>
          <c:tx>
            <c:strRef>
              <c:f>Auxiliar!$G$15</c:f>
              <c:strCache>
                <c:ptCount val="1"/>
                <c:pt idx="0">
                  <c:v>Custo dos Inventários Vendidos ou Consumidos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Auxiliar!$I$14:$L$14</c:f>
              <c:numCache>
                <c:formatCode>General</c:formatCode>
                <c:ptCount val="4"/>
                <c:pt idx="0">
                  <c:v>2018</c:v>
                </c:pt>
                <c:pt idx="1">
                  <c:v>2019</c:v>
                </c:pt>
                <c:pt idx="2">
                  <c:v>2020</c:v>
                </c:pt>
                <c:pt idx="3">
                  <c:v>2021</c:v>
                </c:pt>
              </c:numCache>
            </c:numRef>
          </c:cat>
          <c:val>
            <c:numRef>
              <c:f>Auxiliar!$I$15:$L$15</c:f>
              <c:numCache>
                <c:formatCode>#,##0;\(#,##0\)</c:formatCode>
                <c:ptCount val="4"/>
                <c:pt idx="0">
                  <c:v>0</c:v>
                </c:pt>
                <c:pt idx="1">
                  <c:v>0</c:v>
                </c:pt>
                <c:pt idx="2">
                  <c:v>0</c:v>
                </c:pt>
                <c:pt idx="3">
                  <c:v>0</c:v>
                </c:pt>
              </c:numCache>
            </c:numRef>
          </c:val>
          <c:extLst>
            <c:ext xmlns:c16="http://schemas.microsoft.com/office/drawing/2014/chart" uri="{C3380CC4-5D6E-409C-BE32-E72D297353CC}">
              <c16:uniqueId val="{00000000-CAB2-DA4E-9C60-2EE378352D41}"/>
            </c:ext>
          </c:extLst>
        </c:ser>
        <c:dLbls>
          <c:showLegendKey val="0"/>
          <c:showVal val="0"/>
          <c:showCatName val="0"/>
          <c:showSerName val="0"/>
          <c:showPercent val="0"/>
          <c:showBubbleSize val="0"/>
        </c:dLbls>
        <c:gapWidth val="150"/>
        <c:axId val="119322496"/>
        <c:axId val="119324032"/>
      </c:barChart>
      <c:lineChart>
        <c:grouping val="standard"/>
        <c:varyColors val="0"/>
        <c:ser>
          <c:idx val="1"/>
          <c:order val="1"/>
          <c:tx>
            <c:strRef>
              <c:f>Auxiliar!$G$16</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Auxiliar!$I$14:$L$14</c:f>
              <c:numCache>
                <c:formatCode>General</c:formatCode>
                <c:ptCount val="4"/>
                <c:pt idx="0">
                  <c:v>2018</c:v>
                </c:pt>
                <c:pt idx="1">
                  <c:v>2019</c:v>
                </c:pt>
                <c:pt idx="2">
                  <c:v>2020</c:v>
                </c:pt>
                <c:pt idx="3">
                  <c:v>2021</c:v>
                </c:pt>
              </c:numCache>
            </c:numRef>
          </c:cat>
          <c:val>
            <c:numRef>
              <c:f>Auxiliar!$I$16:$L$16</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CAB2-DA4E-9C60-2EE378352D41}"/>
            </c:ext>
          </c:extLst>
        </c:ser>
        <c:dLbls>
          <c:showLegendKey val="0"/>
          <c:showVal val="0"/>
          <c:showCatName val="0"/>
          <c:showSerName val="0"/>
          <c:showPercent val="0"/>
          <c:showBubbleSize val="0"/>
        </c:dLbls>
        <c:marker val="1"/>
        <c:smooth val="0"/>
        <c:axId val="119348608"/>
        <c:axId val="119346688"/>
      </c:lineChart>
      <c:catAx>
        <c:axId val="119322496"/>
        <c:scaling>
          <c:orientation val="minMax"/>
        </c:scaling>
        <c:delete val="0"/>
        <c:axPos val="b"/>
        <c:numFmt formatCode="General" sourceLinked="1"/>
        <c:majorTickMark val="out"/>
        <c:minorTickMark val="none"/>
        <c:tickLblPos val="nextTo"/>
        <c:txPr>
          <a:bodyPr/>
          <a:lstStyle/>
          <a:p>
            <a:pPr>
              <a:defRPr b="1"/>
            </a:pPr>
            <a:endParaRPr lang="en-US"/>
          </a:p>
        </c:txPr>
        <c:crossAx val="119324032"/>
        <c:crosses val="autoZero"/>
        <c:auto val="1"/>
        <c:lblAlgn val="ctr"/>
        <c:lblOffset val="100"/>
        <c:noMultiLvlLbl val="0"/>
      </c:catAx>
      <c:valAx>
        <c:axId val="11932403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19322496"/>
        <c:crosses val="autoZero"/>
        <c:crossBetween val="between"/>
      </c:valAx>
      <c:valAx>
        <c:axId val="119346688"/>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19348608"/>
        <c:crosses val="max"/>
        <c:crossBetween val="between"/>
      </c:valAx>
      <c:catAx>
        <c:axId val="119348608"/>
        <c:scaling>
          <c:orientation val="minMax"/>
        </c:scaling>
        <c:delete val="1"/>
        <c:axPos val="b"/>
        <c:numFmt formatCode="General" sourceLinked="1"/>
        <c:majorTickMark val="out"/>
        <c:minorTickMark val="none"/>
        <c:tickLblPos val="none"/>
        <c:crossAx val="119346688"/>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Gastos com Pessoal</a:t>
            </a:r>
            <a:endParaRPr lang="en-US" sz="1200"/>
          </a:p>
        </c:rich>
      </c:tx>
      <c:layout>
        <c:manualLayout>
          <c:xMode val="edge"/>
          <c:yMode val="edge"/>
          <c:x val="4.1139169997638239E-2"/>
          <c:y val="2.1052631578947368E-2"/>
        </c:manualLayout>
      </c:layout>
      <c:overlay val="0"/>
    </c:title>
    <c:autoTitleDeleted val="0"/>
    <c:plotArea>
      <c:layout/>
      <c:barChart>
        <c:barDir val="col"/>
        <c:grouping val="clustered"/>
        <c:varyColors val="0"/>
        <c:ser>
          <c:idx val="0"/>
          <c:order val="0"/>
          <c:tx>
            <c:strRef>
              <c:f>Auxiliar!$G$19</c:f>
              <c:strCache>
                <c:ptCount val="1"/>
                <c:pt idx="0">
                  <c:v>Gastos com Pessoal</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Auxiliar!$I$18:$L$18</c:f>
              <c:numCache>
                <c:formatCode>General</c:formatCode>
                <c:ptCount val="4"/>
                <c:pt idx="0">
                  <c:v>2018</c:v>
                </c:pt>
                <c:pt idx="1">
                  <c:v>2019</c:v>
                </c:pt>
                <c:pt idx="2">
                  <c:v>2020</c:v>
                </c:pt>
                <c:pt idx="3">
                  <c:v>2021</c:v>
                </c:pt>
              </c:numCache>
            </c:numRef>
          </c:cat>
          <c:val>
            <c:numRef>
              <c:f>Auxiliar!$I$19:$L$19</c:f>
              <c:numCache>
                <c:formatCode>#,##0;\(#,##0\)</c:formatCode>
                <c:ptCount val="4"/>
                <c:pt idx="0">
                  <c:v>0</c:v>
                </c:pt>
                <c:pt idx="1">
                  <c:v>0</c:v>
                </c:pt>
                <c:pt idx="2">
                  <c:v>0</c:v>
                </c:pt>
                <c:pt idx="3">
                  <c:v>4935151.17</c:v>
                </c:pt>
              </c:numCache>
            </c:numRef>
          </c:val>
          <c:extLst>
            <c:ext xmlns:c16="http://schemas.microsoft.com/office/drawing/2014/chart" uri="{C3380CC4-5D6E-409C-BE32-E72D297353CC}">
              <c16:uniqueId val="{00000000-59AA-E643-903E-CE46EA7E5558}"/>
            </c:ext>
          </c:extLst>
        </c:ser>
        <c:dLbls>
          <c:showLegendKey val="0"/>
          <c:showVal val="0"/>
          <c:showCatName val="0"/>
          <c:showSerName val="0"/>
          <c:showPercent val="0"/>
          <c:showBubbleSize val="0"/>
        </c:dLbls>
        <c:gapWidth val="150"/>
        <c:axId val="119376896"/>
        <c:axId val="119395072"/>
      </c:barChart>
      <c:lineChart>
        <c:grouping val="standard"/>
        <c:varyColors val="0"/>
        <c:ser>
          <c:idx val="1"/>
          <c:order val="1"/>
          <c:tx>
            <c:strRef>
              <c:f>Auxiliar!$G$20</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Auxiliar!$I$18:$L$18</c:f>
              <c:numCache>
                <c:formatCode>General</c:formatCode>
                <c:ptCount val="4"/>
                <c:pt idx="0">
                  <c:v>2018</c:v>
                </c:pt>
                <c:pt idx="1">
                  <c:v>2019</c:v>
                </c:pt>
                <c:pt idx="2">
                  <c:v>2020</c:v>
                </c:pt>
                <c:pt idx="3">
                  <c:v>2021</c:v>
                </c:pt>
              </c:numCache>
            </c:numRef>
          </c:cat>
          <c:val>
            <c:numRef>
              <c:f>Auxiliar!$I$20:$L$20</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59AA-E643-903E-CE46EA7E5558}"/>
            </c:ext>
          </c:extLst>
        </c:ser>
        <c:dLbls>
          <c:showLegendKey val="0"/>
          <c:showVal val="0"/>
          <c:showCatName val="0"/>
          <c:showSerName val="0"/>
          <c:showPercent val="0"/>
          <c:showBubbleSize val="0"/>
        </c:dLbls>
        <c:marker val="1"/>
        <c:smooth val="0"/>
        <c:axId val="119997184"/>
        <c:axId val="119396992"/>
      </c:lineChart>
      <c:catAx>
        <c:axId val="119376896"/>
        <c:scaling>
          <c:orientation val="minMax"/>
        </c:scaling>
        <c:delete val="0"/>
        <c:axPos val="b"/>
        <c:numFmt formatCode="General" sourceLinked="1"/>
        <c:majorTickMark val="out"/>
        <c:minorTickMark val="none"/>
        <c:tickLblPos val="nextTo"/>
        <c:txPr>
          <a:bodyPr/>
          <a:lstStyle/>
          <a:p>
            <a:pPr>
              <a:defRPr b="1"/>
            </a:pPr>
            <a:endParaRPr lang="en-US"/>
          </a:p>
        </c:txPr>
        <c:crossAx val="119395072"/>
        <c:crosses val="autoZero"/>
        <c:auto val="1"/>
        <c:lblAlgn val="ctr"/>
        <c:lblOffset val="100"/>
        <c:noMultiLvlLbl val="0"/>
      </c:catAx>
      <c:valAx>
        <c:axId val="11939507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19376896"/>
        <c:crosses val="autoZero"/>
        <c:crossBetween val="between"/>
      </c:valAx>
      <c:valAx>
        <c:axId val="119396992"/>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19997184"/>
        <c:crosses val="max"/>
        <c:crossBetween val="between"/>
      </c:valAx>
      <c:catAx>
        <c:axId val="119997184"/>
        <c:scaling>
          <c:orientation val="minMax"/>
        </c:scaling>
        <c:delete val="1"/>
        <c:axPos val="b"/>
        <c:numFmt formatCode="General" sourceLinked="1"/>
        <c:majorTickMark val="out"/>
        <c:minorTickMark val="none"/>
        <c:tickLblPos val="none"/>
        <c:crossAx val="119396992"/>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Fornecimentos e Serviços de Terceiros</a:t>
            </a:r>
            <a:endParaRPr lang="en-US" sz="1200"/>
          </a:p>
        </c:rich>
      </c:tx>
      <c:layout>
        <c:manualLayout>
          <c:xMode val="edge"/>
          <c:yMode val="edge"/>
          <c:x val="5.4721512951797835E-2"/>
          <c:y val="2.1052631578947368E-2"/>
        </c:manualLayout>
      </c:layout>
      <c:overlay val="0"/>
    </c:title>
    <c:autoTitleDeleted val="0"/>
    <c:plotArea>
      <c:layout/>
      <c:barChart>
        <c:barDir val="col"/>
        <c:grouping val="clustered"/>
        <c:varyColors val="0"/>
        <c:ser>
          <c:idx val="0"/>
          <c:order val="0"/>
          <c:tx>
            <c:strRef>
              <c:f>Auxiliar!$G$23</c:f>
              <c:strCache>
                <c:ptCount val="1"/>
                <c:pt idx="0">
                  <c:v>Fornecimentos e Serviços de Terceiros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Auxiliar!$I$22:$L$22</c:f>
              <c:numCache>
                <c:formatCode>General</c:formatCode>
                <c:ptCount val="4"/>
                <c:pt idx="0">
                  <c:v>2018</c:v>
                </c:pt>
                <c:pt idx="1">
                  <c:v>2019</c:v>
                </c:pt>
                <c:pt idx="2">
                  <c:v>2020</c:v>
                </c:pt>
                <c:pt idx="3">
                  <c:v>2021</c:v>
                </c:pt>
              </c:numCache>
            </c:numRef>
          </c:cat>
          <c:val>
            <c:numRef>
              <c:f>Auxiliar!$I$23:$L$23</c:f>
              <c:numCache>
                <c:formatCode>#,##0;\(#,##0\)</c:formatCode>
                <c:ptCount val="4"/>
                <c:pt idx="0">
                  <c:v>0</c:v>
                </c:pt>
                <c:pt idx="1">
                  <c:v>0</c:v>
                </c:pt>
                <c:pt idx="2">
                  <c:v>0</c:v>
                </c:pt>
                <c:pt idx="3">
                  <c:v>1778819.48</c:v>
                </c:pt>
              </c:numCache>
            </c:numRef>
          </c:val>
          <c:extLst>
            <c:ext xmlns:c16="http://schemas.microsoft.com/office/drawing/2014/chart" uri="{C3380CC4-5D6E-409C-BE32-E72D297353CC}">
              <c16:uniqueId val="{00000000-26CC-9042-B051-292A9D5184BE}"/>
            </c:ext>
          </c:extLst>
        </c:ser>
        <c:dLbls>
          <c:showLegendKey val="0"/>
          <c:showVal val="0"/>
          <c:showCatName val="0"/>
          <c:showSerName val="0"/>
          <c:showPercent val="0"/>
          <c:showBubbleSize val="0"/>
        </c:dLbls>
        <c:gapWidth val="150"/>
        <c:axId val="120021376"/>
        <c:axId val="120022912"/>
      </c:barChart>
      <c:lineChart>
        <c:grouping val="standard"/>
        <c:varyColors val="0"/>
        <c:ser>
          <c:idx val="1"/>
          <c:order val="1"/>
          <c:tx>
            <c:strRef>
              <c:f>Auxiliar!$G$24</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Auxiliar!$I$22:$L$22</c:f>
              <c:numCache>
                <c:formatCode>General</c:formatCode>
                <c:ptCount val="4"/>
                <c:pt idx="0">
                  <c:v>2018</c:v>
                </c:pt>
                <c:pt idx="1">
                  <c:v>2019</c:v>
                </c:pt>
                <c:pt idx="2">
                  <c:v>2020</c:v>
                </c:pt>
                <c:pt idx="3">
                  <c:v>2021</c:v>
                </c:pt>
              </c:numCache>
            </c:numRef>
          </c:cat>
          <c:val>
            <c:numRef>
              <c:f>Auxiliar!$I$24:$L$24</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26CC-9042-B051-292A9D5184BE}"/>
            </c:ext>
          </c:extLst>
        </c:ser>
        <c:dLbls>
          <c:showLegendKey val="0"/>
          <c:showVal val="0"/>
          <c:showCatName val="0"/>
          <c:showSerName val="0"/>
          <c:showPercent val="0"/>
          <c:showBubbleSize val="0"/>
        </c:dLbls>
        <c:marker val="1"/>
        <c:smooth val="0"/>
        <c:axId val="120039296"/>
        <c:axId val="120037376"/>
      </c:lineChart>
      <c:catAx>
        <c:axId val="120021376"/>
        <c:scaling>
          <c:orientation val="minMax"/>
        </c:scaling>
        <c:delete val="0"/>
        <c:axPos val="b"/>
        <c:numFmt formatCode="General" sourceLinked="1"/>
        <c:majorTickMark val="out"/>
        <c:minorTickMark val="none"/>
        <c:tickLblPos val="nextTo"/>
        <c:txPr>
          <a:bodyPr/>
          <a:lstStyle/>
          <a:p>
            <a:pPr>
              <a:defRPr b="1"/>
            </a:pPr>
            <a:endParaRPr lang="en-US"/>
          </a:p>
        </c:txPr>
        <c:crossAx val="120022912"/>
        <c:crosses val="autoZero"/>
        <c:auto val="1"/>
        <c:lblAlgn val="ctr"/>
        <c:lblOffset val="100"/>
        <c:noMultiLvlLbl val="0"/>
      </c:catAx>
      <c:valAx>
        <c:axId val="12002291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20021376"/>
        <c:crosses val="autoZero"/>
        <c:crossBetween val="between"/>
      </c:valAx>
      <c:valAx>
        <c:axId val="120037376"/>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20039296"/>
        <c:crosses val="max"/>
        <c:crossBetween val="between"/>
      </c:valAx>
      <c:catAx>
        <c:axId val="120039296"/>
        <c:scaling>
          <c:orientation val="minMax"/>
        </c:scaling>
        <c:delete val="1"/>
        <c:axPos val="b"/>
        <c:numFmt formatCode="General" sourceLinked="1"/>
        <c:majorTickMark val="out"/>
        <c:minorTickMark val="none"/>
        <c:tickLblPos val="none"/>
        <c:crossAx val="120037376"/>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Depreciações e Amortizações</a:t>
            </a:r>
            <a:endParaRPr lang="en-US" sz="1200"/>
          </a:p>
        </c:rich>
      </c:tx>
      <c:layout>
        <c:manualLayout>
          <c:xMode val="edge"/>
          <c:yMode val="edge"/>
          <c:x val="5.9248960603184367E-2"/>
          <c:y val="2.1052631578947368E-2"/>
        </c:manualLayout>
      </c:layout>
      <c:overlay val="0"/>
    </c:title>
    <c:autoTitleDeleted val="0"/>
    <c:plotArea>
      <c:layout/>
      <c:barChart>
        <c:barDir val="col"/>
        <c:grouping val="clustered"/>
        <c:varyColors val="0"/>
        <c:ser>
          <c:idx val="0"/>
          <c:order val="0"/>
          <c:tx>
            <c:strRef>
              <c:f>Auxiliar!$G$27</c:f>
              <c:strCache>
                <c:ptCount val="1"/>
                <c:pt idx="0">
                  <c:v>Depreciações e Amortizações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Auxiliar!$I$26:$L$26</c:f>
              <c:numCache>
                <c:formatCode>General</c:formatCode>
                <c:ptCount val="4"/>
                <c:pt idx="0">
                  <c:v>2018</c:v>
                </c:pt>
                <c:pt idx="1">
                  <c:v>2019</c:v>
                </c:pt>
                <c:pt idx="2">
                  <c:v>2020</c:v>
                </c:pt>
                <c:pt idx="3">
                  <c:v>2021</c:v>
                </c:pt>
              </c:numCache>
            </c:numRef>
          </c:cat>
          <c:val>
            <c:numRef>
              <c:f>Auxiliar!$I$27:$L$27</c:f>
              <c:numCache>
                <c:formatCode>#,##0;\(#,##0\)</c:formatCode>
                <c:ptCount val="4"/>
                <c:pt idx="0">
                  <c:v>0</c:v>
                </c:pt>
                <c:pt idx="1">
                  <c:v>0</c:v>
                </c:pt>
                <c:pt idx="2">
                  <c:v>0</c:v>
                </c:pt>
                <c:pt idx="3">
                  <c:v>0</c:v>
                </c:pt>
              </c:numCache>
            </c:numRef>
          </c:val>
          <c:extLst>
            <c:ext xmlns:c16="http://schemas.microsoft.com/office/drawing/2014/chart" uri="{C3380CC4-5D6E-409C-BE32-E72D297353CC}">
              <c16:uniqueId val="{00000000-35D5-1D48-8ED0-6CF21D7A2380}"/>
            </c:ext>
          </c:extLst>
        </c:ser>
        <c:dLbls>
          <c:showLegendKey val="0"/>
          <c:showVal val="0"/>
          <c:showCatName val="0"/>
          <c:showSerName val="0"/>
          <c:showPercent val="0"/>
          <c:showBubbleSize val="0"/>
        </c:dLbls>
        <c:gapWidth val="150"/>
        <c:axId val="120088448"/>
        <c:axId val="120089984"/>
      </c:barChart>
      <c:lineChart>
        <c:grouping val="standard"/>
        <c:varyColors val="0"/>
        <c:ser>
          <c:idx val="1"/>
          <c:order val="1"/>
          <c:tx>
            <c:strRef>
              <c:f>Auxiliar!$G$28</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Auxiliar!$I$26:$L$26</c:f>
              <c:numCache>
                <c:formatCode>General</c:formatCode>
                <c:ptCount val="4"/>
                <c:pt idx="0">
                  <c:v>2018</c:v>
                </c:pt>
                <c:pt idx="1">
                  <c:v>2019</c:v>
                </c:pt>
                <c:pt idx="2">
                  <c:v>2020</c:v>
                </c:pt>
                <c:pt idx="3">
                  <c:v>2021</c:v>
                </c:pt>
              </c:numCache>
            </c:numRef>
          </c:cat>
          <c:val>
            <c:numRef>
              <c:f>Auxiliar!$I$28:$L$28</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35D5-1D48-8ED0-6CF21D7A2380}"/>
            </c:ext>
          </c:extLst>
        </c:ser>
        <c:dLbls>
          <c:showLegendKey val="0"/>
          <c:showVal val="0"/>
          <c:showCatName val="0"/>
          <c:showSerName val="0"/>
          <c:showPercent val="0"/>
          <c:showBubbleSize val="0"/>
        </c:dLbls>
        <c:marker val="1"/>
        <c:smooth val="0"/>
        <c:axId val="120114560"/>
        <c:axId val="120112640"/>
      </c:lineChart>
      <c:catAx>
        <c:axId val="120088448"/>
        <c:scaling>
          <c:orientation val="minMax"/>
        </c:scaling>
        <c:delete val="0"/>
        <c:axPos val="b"/>
        <c:numFmt formatCode="General" sourceLinked="1"/>
        <c:majorTickMark val="out"/>
        <c:minorTickMark val="none"/>
        <c:tickLblPos val="nextTo"/>
        <c:txPr>
          <a:bodyPr/>
          <a:lstStyle/>
          <a:p>
            <a:pPr>
              <a:defRPr b="1"/>
            </a:pPr>
            <a:endParaRPr lang="en-US"/>
          </a:p>
        </c:txPr>
        <c:crossAx val="120089984"/>
        <c:crosses val="autoZero"/>
        <c:auto val="1"/>
        <c:lblAlgn val="ctr"/>
        <c:lblOffset val="100"/>
        <c:noMultiLvlLbl val="0"/>
      </c:catAx>
      <c:valAx>
        <c:axId val="120089984"/>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20088448"/>
        <c:crosses val="autoZero"/>
        <c:crossBetween val="between"/>
      </c:valAx>
      <c:valAx>
        <c:axId val="120112640"/>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20114560"/>
        <c:crosses val="max"/>
        <c:crossBetween val="between"/>
      </c:valAx>
      <c:catAx>
        <c:axId val="120114560"/>
        <c:scaling>
          <c:orientation val="minMax"/>
        </c:scaling>
        <c:delete val="1"/>
        <c:axPos val="b"/>
        <c:numFmt formatCode="General" sourceLinked="1"/>
        <c:majorTickMark val="out"/>
        <c:minorTickMark val="none"/>
        <c:tickLblPos val="none"/>
        <c:crossAx val="120112640"/>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 Operacional (EBIT)</a:t>
            </a:r>
            <a:endParaRPr lang="en-US" sz="1200"/>
          </a:p>
        </c:rich>
      </c:tx>
      <c:layout>
        <c:manualLayout>
          <c:xMode val="edge"/>
          <c:yMode val="edge"/>
          <c:x val="5.6985208230222226E-2"/>
          <c:y val="2.1052631578947368E-2"/>
        </c:manualLayout>
      </c:layout>
      <c:overlay val="0"/>
    </c:title>
    <c:autoTitleDeleted val="0"/>
    <c:plotArea>
      <c:layout/>
      <c:barChart>
        <c:barDir val="col"/>
        <c:grouping val="clustered"/>
        <c:varyColors val="0"/>
        <c:ser>
          <c:idx val="0"/>
          <c:order val="0"/>
          <c:tx>
            <c:strRef>
              <c:f>Auxiliar!$G$31</c:f>
              <c:strCache>
                <c:ptCount val="1"/>
                <c:pt idx="0">
                  <c:v>Resultados Operacionais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Auxiliar!$I$30:$L$30</c:f>
              <c:numCache>
                <c:formatCode>General</c:formatCode>
                <c:ptCount val="4"/>
                <c:pt idx="0">
                  <c:v>2018</c:v>
                </c:pt>
                <c:pt idx="1">
                  <c:v>2019</c:v>
                </c:pt>
                <c:pt idx="2">
                  <c:v>2020</c:v>
                </c:pt>
                <c:pt idx="3">
                  <c:v>2021</c:v>
                </c:pt>
              </c:numCache>
            </c:numRef>
          </c:cat>
          <c:val>
            <c:numRef>
              <c:f>Auxiliar!$I$31:$L$31</c:f>
              <c:numCache>
                <c:formatCode>#,##0;\(#,##0\)</c:formatCode>
                <c:ptCount val="4"/>
                <c:pt idx="0">
                  <c:v>0</c:v>
                </c:pt>
                <c:pt idx="1">
                  <c:v>0</c:v>
                </c:pt>
                <c:pt idx="2">
                  <c:v>0</c:v>
                </c:pt>
                <c:pt idx="3">
                  <c:v>-6389685.54</c:v>
                </c:pt>
              </c:numCache>
            </c:numRef>
          </c:val>
          <c:extLst>
            <c:ext xmlns:c16="http://schemas.microsoft.com/office/drawing/2014/chart" uri="{C3380CC4-5D6E-409C-BE32-E72D297353CC}">
              <c16:uniqueId val="{00000000-F8F4-EE47-BB73-C523C61AEF36}"/>
            </c:ext>
          </c:extLst>
        </c:ser>
        <c:dLbls>
          <c:showLegendKey val="0"/>
          <c:showVal val="0"/>
          <c:showCatName val="0"/>
          <c:showSerName val="0"/>
          <c:showPercent val="0"/>
          <c:showBubbleSize val="0"/>
        </c:dLbls>
        <c:gapWidth val="150"/>
        <c:axId val="120151424"/>
        <c:axId val="120161408"/>
      </c:barChart>
      <c:lineChart>
        <c:grouping val="standard"/>
        <c:varyColors val="0"/>
        <c:ser>
          <c:idx val="1"/>
          <c:order val="1"/>
          <c:tx>
            <c:strRef>
              <c:f>Auxiliar!$G$32</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Auxiliar!$I$30:$L$30</c:f>
              <c:numCache>
                <c:formatCode>General</c:formatCode>
                <c:ptCount val="4"/>
                <c:pt idx="0">
                  <c:v>2018</c:v>
                </c:pt>
                <c:pt idx="1">
                  <c:v>2019</c:v>
                </c:pt>
                <c:pt idx="2">
                  <c:v>2020</c:v>
                </c:pt>
                <c:pt idx="3">
                  <c:v>2021</c:v>
                </c:pt>
              </c:numCache>
            </c:numRef>
          </c:cat>
          <c:val>
            <c:numRef>
              <c:f>Auxiliar!$I$32:$L$32</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F8F4-EE47-BB73-C523C61AEF36}"/>
            </c:ext>
          </c:extLst>
        </c:ser>
        <c:dLbls>
          <c:showLegendKey val="0"/>
          <c:showVal val="0"/>
          <c:showCatName val="0"/>
          <c:showSerName val="0"/>
          <c:showPercent val="0"/>
          <c:showBubbleSize val="0"/>
        </c:dLbls>
        <c:marker val="1"/>
        <c:smooth val="0"/>
        <c:axId val="120169600"/>
        <c:axId val="120163328"/>
      </c:lineChart>
      <c:catAx>
        <c:axId val="120151424"/>
        <c:scaling>
          <c:orientation val="minMax"/>
        </c:scaling>
        <c:delete val="0"/>
        <c:axPos val="b"/>
        <c:numFmt formatCode="General" sourceLinked="1"/>
        <c:majorTickMark val="out"/>
        <c:minorTickMark val="none"/>
        <c:tickLblPos val="nextTo"/>
        <c:txPr>
          <a:bodyPr/>
          <a:lstStyle/>
          <a:p>
            <a:pPr>
              <a:defRPr b="1"/>
            </a:pPr>
            <a:endParaRPr lang="en-US"/>
          </a:p>
        </c:txPr>
        <c:crossAx val="120161408"/>
        <c:crosses val="autoZero"/>
        <c:auto val="1"/>
        <c:lblAlgn val="ctr"/>
        <c:lblOffset val="100"/>
        <c:noMultiLvlLbl val="0"/>
      </c:catAx>
      <c:valAx>
        <c:axId val="120161408"/>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20151424"/>
        <c:crosses val="autoZero"/>
        <c:crossBetween val="between"/>
      </c:valAx>
      <c:valAx>
        <c:axId val="120163328"/>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20169600"/>
        <c:crosses val="max"/>
        <c:crossBetween val="between"/>
      </c:valAx>
      <c:catAx>
        <c:axId val="120169600"/>
        <c:scaling>
          <c:orientation val="minMax"/>
        </c:scaling>
        <c:delete val="1"/>
        <c:axPos val="b"/>
        <c:numFmt formatCode="General" sourceLinked="1"/>
        <c:majorTickMark val="out"/>
        <c:minorTickMark val="none"/>
        <c:tickLblPos val="none"/>
        <c:crossAx val="120163328"/>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Resultados Financeiros</a:t>
            </a:r>
            <a:endParaRPr lang="en-US" sz="1200"/>
          </a:p>
        </c:rich>
      </c:tx>
      <c:layout>
        <c:manualLayout>
          <c:xMode val="edge"/>
          <c:yMode val="edge"/>
          <c:x val="5.9248960603184367E-2"/>
          <c:y val="2.1052631578947368E-2"/>
        </c:manualLayout>
      </c:layout>
      <c:overlay val="0"/>
    </c:title>
    <c:autoTitleDeleted val="0"/>
    <c:plotArea>
      <c:layout/>
      <c:barChart>
        <c:barDir val="col"/>
        <c:grouping val="clustered"/>
        <c:varyColors val="0"/>
        <c:ser>
          <c:idx val="0"/>
          <c:order val="0"/>
          <c:tx>
            <c:strRef>
              <c:f>Auxiliar!$G$35</c:f>
              <c:strCache>
                <c:ptCount val="1"/>
                <c:pt idx="0">
                  <c:v>Resultados Financeiros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Auxiliar!$I$34:$L$34</c:f>
              <c:numCache>
                <c:formatCode>General</c:formatCode>
                <c:ptCount val="4"/>
                <c:pt idx="0">
                  <c:v>2018</c:v>
                </c:pt>
                <c:pt idx="1">
                  <c:v>2019</c:v>
                </c:pt>
                <c:pt idx="2">
                  <c:v>2020</c:v>
                </c:pt>
                <c:pt idx="3">
                  <c:v>2021</c:v>
                </c:pt>
              </c:numCache>
            </c:numRef>
          </c:cat>
          <c:val>
            <c:numRef>
              <c:f>Auxiliar!$I$35:$L$35</c:f>
              <c:numCache>
                <c:formatCode>#,##0;\(#,##0\)</c:formatCode>
                <c:ptCount val="4"/>
                <c:pt idx="0">
                  <c:v>0</c:v>
                </c:pt>
                <c:pt idx="1">
                  <c:v>0</c:v>
                </c:pt>
                <c:pt idx="2">
                  <c:v>0</c:v>
                </c:pt>
                <c:pt idx="3">
                  <c:v>-20194.29</c:v>
                </c:pt>
              </c:numCache>
            </c:numRef>
          </c:val>
          <c:extLst>
            <c:ext xmlns:c16="http://schemas.microsoft.com/office/drawing/2014/chart" uri="{C3380CC4-5D6E-409C-BE32-E72D297353CC}">
              <c16:uniqueId val="{00000000-DD1B-6541-B296-A504C26EB181}"/>
            </c:ext>
          </c:extLst>
        </c:ser>
        <c:dLbls>
          <c:showLegendKey val="0"/>
          <c:showVal val="0"/>
          <c:showCatName val="0"/>
          <c:showSerName val="0"/>
          <c:showPercent val="0"/>
          <c:showBubbleSize val="0"/>
        </c:dLbls>
        <c:gapWidth val="150"/>
        <c:axId val="120271616"/>
        <c:axId val="120273152"/>
      </c:barChart>
      <c:lineChart>
        <c:grouping val="standard"/>
        <c:varyColors val="0"/>
        <c:ser>
          <c:idx val="1"/>
          <c:order val="1"/>
          <c:tx>
            <c:strRef>
              <c:f>Auxiliar!$G$36</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Auxiliar!$I$34:$L$34</c:f>
              <c:numCache>
                <c:formatCode>General</c:formatCode>
                <c:ptCount val="4"/>
                <c:pt idx="0">
                  <c:v>2018</c:v>
                </c:pt>
                <c:pt idx="1">
                  <c:v>2019</c:v>
                </c:pt>
                <c:pt idx="2">
                  <c:v>2020</c:v>
                </c:pt>
                <c:pt idx="3">
                  <c:v>2021</c:v>
                </c:pt>
              </c:numCache>
            </c:numRef>
          </c:cat>
          <c:val>
            <c:numRef>
              <c:f>Auxiliar!$I$36:$L$36</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DD1B-6541-B296-A504C26EB181}"/>
            </c:ext>
          </c:extLst>
        </c:ser>
        <c:dLbls>
          <c:showLegendKey val="0"/>
          <c:showVal val="0"/>
          <c:showCatName val="0"/>
          <c:showSerName val="0"/>
          <c:showPercent val="0"/>
          <c:showBubbleSize val="0"/>
        </c:dLbls>
        <c:marker val="1"/>
        <c:smooth val="0"/>
        <c:axId val="120277248"/>
        <c:axId val="120275328"/>
      </c:lineChart>
      <c:catAx>
        <c:axId val="120271616"/>
        <c:scaling>
          <c:orientation val="minMax"/>
        </c:scaling>
        <c:delete val="0"/>
        <c:axPos val="b"/>
        <c:numFmt formatCode="General" sourceLinked="1"/>
        <c:majorTickMark val="out"/>
        <c:minorTickMark val="none"/>
        <c:tickLblPos val="nextTo"/>
        <c:txPr>
          <a:bodyPr/>
          <a:lstStyle/>
          <a:p>
            <a:pPr>
              <a:defRPr b="1"/>
            </a:pPr>
            <a:endParaRPr lang="en-US"/>
          </a:p>
        </c:txPr>
        <c:crossAx val="120273152"/>
        <c:crosses val="autoZero"/>
        <c:auto val="1"/>
        <c:lblAlgn val="ctr"/>
        <c:lblOffset val="100"/>
        <c:noMultiLvlLbl val="0"/>
      </c:catAx>
      <c:valAx>
        <c:axId val="12027315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20271616"/>
        <c:crosses val="autoZero"/>
        <c:crossBetween val="between"/>
      </c:valAx>
      <c:valAx>
        <c:axId val="120275328"/>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20277248"/>
        <c:crosses val="max"/>
        <c:crossBetween val="between"/>
      </c:valAx>
      <c:catAx>
        <c:axId val="120277248"/>
        <c:scaling>
          <c:orientation val="minMax"/>
        </c:scaling>
        <c:delete val="1"/>
        <c:axPos val="b"/>
        <c:numFmt formatCode="General" sourceLinked="1"/>
        <c:majorTickMark val="out"/>
        <c:minorTickMark val="none"/>
        <c:tickLblPos val="none"/>
        <c:crossAx val="120275328"/>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baseline="0"/>
              <a:t>Resultados Líquidos</a:t>
            </a:r>
            <a:endParaRPr lang="en-US" sz="1200"/>
          </a:p>
        </c:rich>
      </c:tx>
      <c:layout>
        <c:manualLayout>
          <c:xMode val="edge"/>
          <c:yMode val="edge"/>
          <c:x val="5.6985208230222226E-2"/>
          <c:y val="2.1052631578947368E-2"/>
        </c:manualLayout>
      </c:layout>
      <c:overlay val="0"/>
    </c:title>
    <c:autoTitleDeleted val="0"/>
    <c:plotArea>
      <c:layout/>
      <c:barChart>
        <c:barDir val="col"/>
        <c:grouping val="clustered"/>
        <c:varyColors val="0"/>
        <c:ser>
          <c:idx val="0"/>
          <c:order val="0"/>
          <c:tx>
            <c:strRef>
              <c:f>Auxiliar!$G$39</c:f>
              <c:strCache>
                <c:ptCount val="1"/>
                <c:pt idx="0">
                  <c:v>Resultados Líquidos</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Auxiliar!$I$38:$L$38</c:f>
              <c:numCache>
                <c:formatCode>General</c:formatCode>
                <c:ptCount val="4"/>
                <c:pt idx="0">
                  <c:v>2018</c:v>
                </c:pt>
                <c:pt idx="1">
                  <c:v>2019</c:v>
                </c:pt>
                <c:pt idx="2">
                  <c:v>2020</c:v>
                </c:pt>
                <c:pt idx="3">
                  <c:v>2021</c:v>
                </c:pt>
              </c:numCache>
            </c:numRef>
          </c:cat>
          <c:val>
            <c:numRef>
              <c:f>Auxiliar!$I$39:$L$39</c:f>
              <c:numCache>
                <c:formatCode>#,##0;\(#,##0\)</c:formatCode>
                <c:ptCount val="4"/>
                <c:pt idx="0">
                  <c:v>0</c:v>
                </c:pt>
                <c:pt idx="1">
                  <c:v>0</c:v>
                </c:pt>
                <c:pt idx="2">
                  <c:v>0</c:v>
                </c:pt>
                <c:pt idx="3">
                  <c:v>-6409879.8300000001</c:v>
                </c:pt>
              </c:numCache>
            </c:numRef>
          </c:val>
          <c:extLst>
            <c:ext xmlns:c16="http://schemas.microsoft.com/office/drawing/2014/chart" uri="{C3380CC4-5D6E-409C-BE32-E72D297353CC}">
              <c16:uniqueId val="{00000000-83D4-D045-A05D-D5878BF994D4}"/>
            </c:ext>
          </c:extLst>
        </c:ser>
        <c:dLbls>
          <c:showLegendKey val="0"/>
          <c:showVal val="0"/>
          <c:showCatName val="0"/>
          <c:showSerName val="0"/>
          <c:showPercent val="0"/>
          <c:showBubbleSize val="0"/>
        </c:dLbls>
        <c:gapWidth val="150"/>
        <c:axId val="120326016"/>
        <c:axId val="120327552"/>
      </c:barChart>
      <c:lineChart>
        <c:grouping val="standard"/>
        <c:varyColors val="0"/>
        <c:ser>
          <c:idx val="1"/>
          <c:order val="1"/>
          <c:tx>
            <c:strRef>
              <c:f>Auxiliar!$G$40</c:f>
              <c:strCache>
                <c:ptCount val="1"/>
                <c:pt idx="0">
                  <c:v>% de Crescimento</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Auxiliar!$I$38:$L$38</c:f>
              <c:numCache>
                <c:formatCode>General</c:formatCode>
                <c:ptCount val="4"/>
                <c:pt idx="0">
                  <c:v>2018</c:v>
                </c:pt>
                <c:pt idx="1">
                  <c:v>2019</c:v>
                </c:pt>
                <c:pt idx="2">
                  <c:v>2020</c:v>
                </c:pt>
                <c:pt idx="3">
                  <c:v>2021</c:v>
                </c:pt>
              </c:numCache>
            </c:numRef>
          </c:cat>
          <c:val>
            <c:numRef>
              <c:f>Auxiliar!$I$40:$L$40</c:f>
              <c:numCache>
                <c:formatCode>0.0%;\(0.0%\)</c:formatCode>
                <c:ptCount val="4"/>
                <c:pt idx="0">
                  <c:v>0</c:v>
                </c:pt>
                <c:pt idx="1">
                  <c:v>0</c:v>
                </c:pt>
                <c:pt idx="2">
                  <c:v>0</c:v>
                </c:pt>
                <c:pt idx="3">
                  <c:v>0</c:v>
                </c:pt>
              </c:numCache>
            </c:numRef>
          </c:val>
          <c:smooth val="0"/>
          <c:extLst>
            <c:ext xmlns:c16="http://schemas.microsoft.com/office/drawing/2014/chart" uri="{C3380CC4-5D6E-409C-BE32-E72D297353CC}">
              <c16:uniqueId val="{00000001-83D4-D045-A05D-D5878BF994D4}"/>
            </c:ext>
          </c:extLst>
        </c:ser>
        <c:dLbls>
          <c:showLegendKey val="0"/>
          <c:showVal val="0"/>
          <c:showCatName val="0"/>
          <c:showSerName val="0"/>
          <c:showPercent val="0"/>
          <c:showBubbleSize val="0"/>
        </c:dLbls>
        <c:marker val="1"/>
        <c:smooth val="0"/>
        <c:axId val="120335744"/>
        <c:axId val="120333824"/>
      </c:lineChart>
      <c:catAx>
        <c:axId val="120326016"/>
        <c:scaling>
          <c:orientation val="minMax"/>
        </c:scaling>
        <c:delete val="0"/>
        <c:axPos val="b"/>
        <c:numFmt formatCode="General" sourceLinked="1"/>
        <c:majorTickMark val="out"/>
        <c:minorTickMark val="none"/>
        <c:tickLblPos val="nextTo"/>
        <c:txPr>
          <a:bodyPr/>
          <a:lstStyle/>
          <a:p>
            <a:pPr>
              <a:defRPr b="1"/>
            </a:pPr>
            <a:endParaRPr lang="en-US"/>
          </a:p>
        </c:txPr>
        <c:crossAx val="120327552"/>
        <c:crosses val="autoZero"/>
        <c:auto val="1"/>
        <c:lblAlgn val="ctr"/>
        <c:lblOffset val="100"/>
        <c:noMultiLvlLbl val="0"/>
      </c:catAx>
      <c:valAx>
        <c:axId val="120327552"/>
        <c:scaling>
          <c:orientation val="minMax"/>
        </c:scaling>
        <c:delete val="0"/>
        <c:axPos val="l"/>
        <c:majorGridlines>
          <c:spPr>
            <a:ln>
              <a:solidFill>
                <a:sysClr val="window" lastClr="FFFFFF">
                  <a:shade val="50000"/>
                  <a:alpha val="0"/>
                </a:sysClr>
              </a:solidFill>
            </a:ln>
          </c:spPr>
        </c:majorGridlines>
        <c:title>
          <c:tx>
            <c:strRef>
              <c:f>'INFORMAÇÃO FINANCEIRA'!$H$11</c:f>
              <c:strCache>
                <c:ptCount val="1"/>
                <c:pt idx="0">
                  <c:v>milhares MZN</c:v>
                </c:pt>
              </c:strCache>
            </c:strRef>
          </c:tx>
          <c:overlay val="0"/>
          <c:txPr>
            <a:bodyPr rot="-5400000" vert="horz"/>
            <a:lstStyle/>
            <a:p>
              <a:pPr>
                <a:defRPr/>
              </a:pPr>
              <a:endParaRPr lang="en-US"/>
            </a:p>
          </c:txPr>
        </c:title>
        <c:numFmt formatCode="#,##0;\(#,##0\)" sourceLinked="1"/>
        <c:majorTickMark val="out"/>
        <c:minorTickMark val="none"/>
        <c:tickLblPos val="nextTo"/>
        <c:crossAx val="120326016"/>
        <c:crosses val="autoZero"/>
        <c:crossBetween val="between"/>
      </c:valAx>
      <c:valAx>
        <c:axId val="120333824"/>
        <c:scaling>
          <c:orientation val="minMax"/>
        </c:scaling>
        <c:delete val="0"/>
        <c:axPos val="r"/>
        <c:title>
          <c:tx>
            <c:strRef>
              <c:f>Auxiliar!$G$32</c:f>
              <c:strCache>
                <c:ptCount val="1"/>
                <c:pt idx="0">
                  <c:v>% de Crescimento</c:v>
                </c:pt>
              </c:strCache>
            </c:strRef>
          </c:tx>
          <c:overlay val="0"/>
          <c:txPr>
            <a:bodyPr rot="-5400000" vert="horz"/>
            <a:lstStyle/>
            <a:p>
              <a:pPr>
                <a:defRPr/>
              </a:pPr>
              <a:endParaRPr lang="en-US"/>
            </a:p>
          </c:txPr>
        </c:title>
        <c:numFmt formatCode="0.0%;\(0.0%\)" sourceLinked="1"/>
        <c:majorTickMark val="out"/>
        <c:minorTickMark val="none"/>
        <c:tickLblPos val="nextTo"/>
        <c:crossAx val="120335744"/>
        <c:crosses val="max"/>
        <c:crossBetween val="between"/>
      </c:valAx>
      <c:catAx>
        <c:axId val="120335744"/>
        <c:scaling>
          <c:orientation val="minMax"/>
        </c:scaling>
        <c:delete val="1"/>
        <c:axPos val="b"/>
        <c:numFmt formatCode="General" sourceLinked="1"/>
        <c:majorTickMark val="out"/>
        <c:minorTickMark val="none"/>
        <c:tickLblPos val="none"/>
        <c:crossAx val="120333824"/>
        <c:crosses val="autoZero"/>
        <c:auto val="1"/>
        <c:lblAlgn val="ctr"/>
        <c:lblOffset val="100"/>
        <c:noMultiLvlLbl val="0"/>
      </c:catAx>
    </c:plotArea>
    <c:legend>
      <c:legendPos val="b"/>
      <c:overlay val="0"/>
    </c:legend>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Sheet1!$A$4</c:f>
              <c:strCache>
                <c:ptCount val="1"/>
                <c:pt idx="0">
                  <c:v>Vendas de Bens e Serviços</c:v>
                </c:pt>
              </c:strCache>
            </c:strRef>
          </c:tx>
          <c:spPr>
            <a:solidFill>
              <a:schemeClr val="accent1"/>
            </a:solidFill>
            <a:ln>
              <a:noFill/>
            </a:ln>
            <a:effectLst/>
          </c:spPr>
          <c:invertIfNegative val="0"/>
          <c:cat>
            <c:strRef>
              <c:f>Sheet1!$B$3:$M$3</c:f>
              <c:strCache>
                <c:ptCount val="12"/>
                <c:pt idx="0">
                  <c:v>JAN</c:v>
                </c:pt>
                <c:pt idx="1">
                  <c:v>FEV</c:v>
                </c:pt>
                <c:pt idx="2">
                  <c:v>MARCH</c:v>
                </c:pt>
                <c:pt idx="3">
                  <c:v>APRIL</c:v>
                </c:pt>
                <c:pt idx="4">
                  <c:v>MAY</c:v>
                </c:pt>
                <c:pt idx="5">
                  <c:v>JUNE</c:v>
                </c:pt>
                <c:pt idx="6">
                  <c:v>JULY</c:v>
                </c:pt>
                <c:pt idx="7">
                  <c:v>AUGUST</c:v>
                </c:pt>
                <c:pt idx="8">
                  <c:v>SEPTEMBER</c:v>
                </c:pt>
                <c:pt idx="9">
                  <c:v>OCTOBER</c:v>
                </c:pt>
                <c:pt idx="10">
                  <c:v>NOVEMBER</c:v>
                </c:pt>
                <c:pt idx="11">
                  <c:v>DEZEMBER</c:v>
                </c:pt>
              </c:strCache>
            </c:strRef>
          </c:cat>
          <c:val>
            <c:numRef>
              <c:f>Sheet1!$B$4:$M$4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CC3-614B-88AE-CD4ECFA11317}"/>
            </c:ext>
          </c:extLst>
        </c:ser>
        <c:ser>
          <c:idx val="1"/>
          <c:order val="1"/>
          <c:tx>
            <c:strRef>
              <c:f>Sheet1!$A$5</c:f>
              <c:strCache>
                <c:ptCount val="1"/>
                <c:pt idx="0">
                  <c:v>Taxa de Crescimento</c:v>
                </c:pt>
              </c:strCache>
            </c:strRef>
          </c:tx>
          <c:spPr>
            <a:solidFill>
              <a:schemeClr val="accent2"/>
            </a:solidFill>
            <a:ln>
              <a:noFill/>
            </a:ln>
            <a:effectLst/>
          </c:spPr>
          <c:invertIfNegative val="0"/>
          <c:cat>
            <c:strRef>
              <c:f>Sheet1!$B$3:$M$3</c:f>
              <c:strCache>
                <c:ptCount val="12"/>
                <c:pt idx="0">
                  <c:v>JAN</c:v>
                </c:pt>
                <c:pt idx="1">
                  <c:v>FEV</c:v>
                </c:pt>
                <c:pt idx="2">
                  <c:v>MARCH</c:v>
                </c:pt>
                <c:pt idx="3">
                  <c:v>APRIL</c:v>
                </c:pt>
                <c:pt idx="4">
                  <c:v>MAY</c:v>
                </c:pt>
                <c:pt idx="5">
                  <c:v>JUNE</c:v>
                </c:pt>
                <c:pt idx="6">
                  <c:v>JULY</c:v>
                </c:pt>
                <c:pt idx="7">
                  <c:v>AUGUST</c:v>
                </c:pt>
                <c:pt idx="8">
                  <c:v>SEPTEMBER</c:v>
                </c:pt>
                <c:pt idx="9">
                  <c:v>OCTOBER</c:v>
                </c:pt>
                <c:pt idx="10">
                  <c:v>NOVEMBER</c:v>
                </c:pt>
                <c:pt idx="11">
                  <c:v>DEZEMBER</c:v>
                </c:pt>
              </c:strCache>
            </c:strRef>
          </c:cat>
          <c:val>
            <c:numRef>
              <c:f>Sheet1!$B$5:$M$5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CCC3-614B-88AE-CD4ECFA11317}"/>
            </c:ext>
          </c:extLst>
        </c:ser>
        <c:dLbls>
          <c:showLegendKey val="0"/>
          <c:showVal val="0"/>
          <c:showCatName val="0"/>
          <c:showSerName val="0"/>
          <c:showPercent val="0"/>
          <c:showBubbleSize val="0"/>
        </c:dLbls>
        <c:gapWidth val="219"/>
        <c:overlap val="-27"/>
        <c:axId val="119818112"/>
        <c:axId val="119819648"/>
      </c:barChart>
      <c:catAx>
        <c:axId val="11981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19648"/>
        <c:crosses val="autoZero"/>
        <c:auto val="1"/>
        <c:lblAlgn val="ctr"/>
        <c:lblOffset val="100"/>
        <c:noMultiLvlLbl val="0"/>
      </c:catAx>
      <c:valAx>
        <c:axId val="11981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18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solidFill>
                  <a:schemeClr val="accent5">
                    <a:lumMod val="50000"/>
                  </a:schemeClr>
                </a:solidFill>
              </a:defRPr>
            </a:pPr>
            <a:r>
              <a:rPr lang="en-GB">
                <a:solidFill>
                  <a:schemeClr val="accent5">
                    <a:lumMod val="50000"/>
                  </a:schemeClr>
                </a:solidFill>
              </a:rPr>
              <a:t>ACTIVOS</a:t>
            </a:r>
            <a:r>
              <a:rPr lang="en-GB" baseline="0">
                <a:solidFill>
                  <a:schemeClr val="accent5">
                    <a:lumMod val="50000"/>
                  </a:schemeClr>
                </a:solidFill>
              </a:rPr>
              <a:t> E FINANCIAMENTO DOS ACTIVOS</a:t>
            </a:r>
            <a:endParaRPr lang="en-GB">
              <a:solidFill>
                <a:schemeClr val="accent5">
                  <a:lumMod val="50000"/>
                </a:schemeClr>
              </a:solidFill>
            </a:endParaRPr>
          </a:p>
        </c:rich>
      </c:tx>
      <c:overlay val="0"/>
    </c:title>
    <c:autoTitleDeleted val="0"/>
    <c:view3D>
      <c:rotX val="10"/>
      <c:rotY val="0"/>
      <c:rAngAx val="1"/>
    </c:view3D>
    <c:floor>
      <c:thickness val="0"/>
      <c:spPr>
        <a:solidFill>
          <a:schemeClr val="bg1">
            <a:lumMod val="75000"/>
          </a:schemeClr>
        </a:solidFill>
      </c:spPr>
    </c:floor>
    <c:sideWall>
      <c:thickness val="0"/>
      <c:spPr>
        <a:solidFill>
          <a:schemeClr val="accent1">
            <a:lumMod val="20000"/>
            <a:lumOff val="80000"/>
          </a:schemeClr>
        </a:solidFill>
      </c:spPr>
    </c:sideWall>
    <c:backWall>
      <c:thickness val="0"/>
      <c:spPr>
        <a:solidFill>
          <a:schemeClr val="accent1">
            <a:lumMod val="20000"/>
            <a:lumOff val="80000"/>
          </a:schemeClr>
        </a:solidFill>
      </c:spPr>
    </c:backWall>
    <c:plotArea>
      <c:layout>
        <c:manualLayout>
          <c:layoutTarget val="inner"/>
          <c:xMode val="edge"/>
          <c:yMode val="edge"/>
          <c:x val="8.53418657116021E-2"/>
          <c:y val="0.11504271678202622"/>
          <c:w val="0.89013193584915595"/>
          <c:h val="0.62485990688850634"/>
        </c:manualLayout>
      </c:layout>
      <c:bar3DChart>
        <c:barDir val="col"/>
        <c:grouping val="stacked"/>
        <c:varyColors val="0"/>
        <c:ser>
          <c:idx val="0"/>
          <c:order val="0"/>
          <c:tx>
            <c:strRef>
              <c:f>Auxiliar!$P$59</c:f>
              <c:strCache>
                <c:ptCount val="1"/>
                <c:pt idx="0">
                  <c:v>Ativo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Auxiliar!$Q$59:$U$59</c:f>
              <c:numCache>
                <c:formatCode>0.00%</c:formatCode>
                <c:ptCount val="5"/>
                <c:pt idx="0">
                  <c:v>0</c:v>
                </c:pt>
                <c:pt idx="3">
                  <c:v>1.0400615937257254</c:v>
                </c:pt>
              </c:numCache>
            </c:numRef>
          </c:val>
          <c:extLst>
            <c:ext xmlns:c16="http://schemas.microsoft.com/office/drawing/2014/chart" uri="{C3380CC4-5D6E-409C-BE32-E72D297353CC}">
              <c16:uniqueId val="{00000000-50AD-A643-9151-19A0B12D8AEF}"/>
            </c:ext>
          </c:extLst>
        </c:ser>
        <c:ser>
          <c:idx val="1"/>
          <c:order val="1"/>
          <c:tx>
            <c:strRef>
              <c:f>Auxiliar!$P$60</c:f>
              <c:strCache>
                <c:ptCount val="1"/>
                <c:pt idx="0">
                  <c:v>Ativo Não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Auxiliar!$Q$60:$U$60</c:f>
              <c:numCache>
                <c:formatCode>0.00%</c:formatCode>
                <c:ptCount val="5"/>
                <c:pt idx="0">
                  <c:v>0</c:v>
                </c:pt>
                <c:pt idx="3">
                  <c:v>-4.0061593725725479E-2</c:v>
                </c:pt>
              </c:numCache>
            </c:numRef>
          </c:val>
          <c:extLst>
            <c:ext xmlns:c16="http://schemas.microsoft.com/office/drawing/2014/chart" uri="{C3380CC4-5D6E-409C-BE32-E72D297353CC}">
              <c16:uniqueId val="{00000001-50AD-A643-9151-19A0B12D8AEF}"/>
            </c:ext>
          </c:extLst>
        </c:ser>
        <c:ser>
          <c:idx val="2"/>
          <c:order val="2"/>
          <c:tx>
            <c:strRef>
              <c:f>Auxiliar!$P$61</c:f>
              <c:strCache>
                <c:ptCount val="1"/>
                <c:pt idx="0">
                  <c:v>Passivo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Auxiliar!$Q$61:$U$61</c:f>
              <c:numCache>
                <c:formatCode>0.00%</c:formatCode>
                <c:ptCount val="5"/>
                <c:pt idx="1">
                  <c:v>0</c:v>
                </c:pt>
                <c:pt idx="4">
                  <c:v>-1.7074983159762827</c:v>
                </c:pt>
              </c:numCache>
            </c:numRef>
          </c:val>
          <c:extLst>
            <c:ext xmlns:c16="http://schemas.microsoft.com/office/drawing/2014/chart" uri="{C3380CC4-5D6E-409C-BE32-E72D297353CC}">
              <c16:uniqueId val="{00000002-50AD-A643-9151-19A0B12D8AEF}"/>
            </c:ext>
          </c:extLst>
        </c:ser>
        <c:ser>
          <c:idx val="3"/>
          <c:order val="3"/>
          <c:tx>
            <c:strRef>
              <c:f>Auxiliar!$P$62</c:f>
              <c:strCache>
                <c:ptCount val="1"/>
                <c:pt idx="0">
                  <c:v>Passivo Não Corrente</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Auxiliar!$Q$62:$U$62</c:f>
              <c:numCache>
                <c:formatCode>0.00%</c:formatCode>
                <c:ptCount val="5"/>
                <c:pt idx="1">
                  <c:v>0</c:v>
                </c:pt>
                <c:pt idx="4">
                  <c:v>0</c:v>
                </c:pt>
              </c:numCache>
            </c:numRef>
          </c:val>
          <c:extLst>
            <c:ext xmlns:c16="http://schemas.microsoft.com/office/drawing/2014/chart" uri="{C3380CC4-5D6E-409C-BE32-E72D297353CC}">
              <c16:uniqueId val="{00000003-50AD-A643-9151-19A0B12D8AEF}"/>
            </c:ext>
          </c:extLst>
        </c:ser>
        <c:ser>
          <c:idx val="4"/>
          <c:order val="4"/>
          <c:tx>
            <c:strRef>
              <c:f>Auxiliar!$P$63</c:f>
              <c:strCache>
                <c:ptCount val="1"/>
                <c:pt idx="0">
                  <c:v>Capital Próprio</c:v>
                </c:pt>
              </c:strCache>
            </c:strRef>
          </c:tx>
          <c:invertIfNegative val="0"/>
          <c:dLbls>
            <c:spPr>
              <a:noFill/>
              <a:ln>
                <a:noFill/>
              </a:ln>
              <a:effectLst/>
            </c:spPr>
            <c:txPr>
              <a:bodyPr/>
              <a:lstStyle/>
              <a:p>
                <a:pPr>
                  <a:defRPr>
                    <a:solidFill>
                      <a:schemeClr val="bg1"/>
                    </a:solidFill>
                    <a:latin typeface="Lucida Sans Unicode" panose="020B0602030504020204" pitchFamily="34" charset="0"/>
                    <a:cs typeface="Lucida Sans Unicode" panose="020B06020305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Auxiliar!$Q$57:$U$58</c:f>
              <c:multiLvlStrCache>
                <c:ptCount val="5"/>
                <c:lvl>
                  <c:pt idx="0">
                    <c:v>Ativo</c:v>
                  </c:pt>
                  <c:pt idx="1">
                    <c:v>Passivo + CP</c:v>
                  </c:pt>
                  <c:pt idx="3">
                    <c:v>Ativo</c:v>
                  </c:pt>
                  <c:pt idx="4">
                    <c:v>Passivo + CP</c:v>
                  </c:pt>
                </c:lvl>
                <c:lvl>
                  <c:pt idx="0">
                    <c:v>2020</c:v>
                  </c:pt>
                  <c:pt idx="3">
                    <c:v>2021</c:v>
                  </c:pt>
                </c:lvl>
              </c:multiLvlStrCache>
            </c:multiLvlStrRef>
          </c:cat>
          <c:val>
            <c:numRef>
              <c:f>Auxiliar!$Q$63:$U$63</c:f>
              <c:numCache>
                <c:formatCode>0.00%</c:formatCode>
                <c:ptCount val="5"/>
                <c:pt idx="1">
                  <c:v>0</c:v>
                </c:pt>
                <c:pt idx="4">
                  <c:v>2.7074983159762827</c:v>
                </c:pt>
              </c:numCache>
            </c:numRef>
          </c:val>
          <c:extLst>
            <c:ext xmlns:c16="http://schemas.microsoft.com/office/drawing/2014/chart" uri="{C3380CC4-5D6E-409C-BE32-E72D297353CC}">
              <c16:uniqueId val="{00000004-50AD-A643-9151-19A0B12D8AEF}"/>
            </c:ext>
          </c:extLst>
        </c:ser>
        <c:dLbls>
          <c:showLegendKey val="0"/>
          <c:showVal val="1"/>
          <c:showCatName val="0"/>
          <c:showSerName val="0"/>
          <c:showPercent val="0"/>
          <c:showBubbleSize val="0"/>
        </c:dLbls>
        <c:gapWidth val="0"/>
        <c:gapDepth val="0"/>
        <c:shape val="cylinder"/>
        <c:axId val="119795072"/>
        <c:axId val="119882880"/>
        <c:axId val="0"/>
      </c:bar3DChart>
      <c:catAx>
        <c:axId val="119795072"/>
        <c:scaling>
          <c:orientation val="minMax"/>
        </c:scaling>
        <c:delete val="0"/>
        <c:axPos val="b"/>
        <c:majorGridlines/>
        <c:numFmt formatCode="General" sourceLinked="0"/>
        <c:majorTickMark val="out"/>
        <c:minorTickMark val="none"/>
        <c:tickLblPos val="nextTo"/>
        <c:txPr>
          <a:bodyPr/>
          <a:lstStyle/>
          <a:p>
            <a:pPr>
              <a:defRPr b="1">
                <a:solidFill>
                  <a:schemeClr val="tx2"/>
                </a:solidFill>
                <a:latin typeface="Lucida Sans Unicode" panose="020B0602030504020204" pitchFamily="34" charset="0"/>
                <a:cs typeface="Lucida Sans Unicode" panose="020B0602030504020204" pitchFamily="34" charset="0"/>
              </a:defRPr>
            </a:pPr>
            <a:endParaRPr lang="en-US"/>
          </a:p>
        </c:txPr>
        <c:crossAx val="119882880"/>
        <c:crosses val="autoZero"/>
        <c:auto val="1"/>
        <c:lblAlgn val="ctr"/>
        <c:lblOffset val="100"/>
        <c:noMultiLvlLbl val="0"/>
      </c:catAx>
      <c:valAx>
        <c:axId val="119882880"/>
        <c:scaling>
          <c:orientation val="minMax"/>
        </c:scaling>
        <c:delete val="0"/>
        <c:axPos val="l"/>
        <c:majorGridlines>
          <c:spPr>
            <a:ln>
              <a:noFill/>
            </a:ln>
          </c:spPr>
        </c:majorGridlines>
        <c:numFmt formatCode="0.00%" sourceLinked="1"/>
        <c:majorTickMark val="out"/>
        <c:minorTickMark val="none"/>
        <c:tickLblPos val="nextTo"/>
        <c:txPr>
          <a:bodyPr/>
          <a:lstStyle/>
          <a:p>
            <a:pPr>
              <a:defRPr b="1">
                <a:solidFill>
                  <a:schemeClr val="tx2"/>
                </a:solidFill>
                <a:latin typeface="Lucida Sans Unicode" panose="020B0602030504020204" pitchFamily="34" charset="0"/>
                <a:cs typeface="Lucida Sans Unicode" panose="020B0602030504020204" pitchFamily="34" charset="0"/>
              </a:defRPr>
            </a:pPr>
            <a:endParaRPr lang="en-US"/>
          </a:p>
        </c:txPr>
        <c:crossAx val="119795072"/>
        <c:crosses val="autoZero"/>
        <c:crossBetween val="between"/>
      </c:valAx>
    </c:plotArea>
    <c:legend>
      <c:legendPos val="b"/>
      <c:layout>
        <c:manualLayout>
          <c:xMode val="edge"/>
          <c:yMode val="edge"/>
          <c:x val="8.5138074779192149E-2"/>
          <c:y val="0.8827782953361939"/>
          <c:w val="0.89033576488557664"/>
          <c:h val="0.10546012868077281"/>
        </c:manualLayout>
      </c:layout>
      <c:overlay val="0"/>
      <c:txPr>
        <a:bodyPr/>
        <a:lstStyle/>
        <a:p>
          <a:pPr>
            <a:defRPr sz="900">
              <a:solidFill>
                <a:schemeClr val="tx2"/>
              </a:solidFill>
              <a:latin typeface="Lucida Sans Unicode" panose="020B0602030504020204" pitchFamily="34" charset="0"/>
              <a:cs typeface="Lucida Sans Unicode" panose="020B060203050402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'DETALHE FST MENSAL'!$H$10</c:f>
          <c:strCache>
            <c:ptCount val="1"/>
            <c:pt idx="0">
              <c:v>2021</c:v>
            </c:pt>
          </c:strCache>
        </c:strRef>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565387364927467"/>
          <c:y val="0.36328292873425422"/>
          <c:w val="0.31583531409606247"/>
          <c:h val="0.55571715300293345"/>
        </c:manualLayout>
      </c:layout>
      <c:pieChart>
        <c:varyColors val="1"/>
        <c:ser>
          <c:idx val="0"/>
          <c:order val="0"/>
          <c:dPt>
            <c:idx val="0"/>
            <c:bubble3D val="0"/>
            <c:explosion val="2"/>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2A85-294C-A4D8-529DE9687670}"/>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2A85-294C-A4D8-529DE9687670}"/>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2A85-294C-A4D8-529DE9687670}"/>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2A85-294C-A4D8-529DE9687670}"/>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2A85-294C-A4D8-529DE9687670}"/>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2A85-294C-A4D8-529DE9687670}"/>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2A85-294C-A4D8-529DE9687670}"/>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2A85-294C-A4D8-529DE9687670}"/>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2A85-294C-A4D8-529DE9687670}"/>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2A85-294C-A4D8-529DE9687670}"/>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2A85-294C-A4D8-529DE9687670}"/>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7-2A85-294C-A4D8-529DE9687670}"/>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9-2A85-294C-A4D8-529DE9687670}"/>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B-2A85-294C-A4D8-529DE9687670}"/>
              </c:ext>
            </c:extLst>
          </c:dPt>
          <c:dPt>
            <c:idx val="14"/>
            <c:bubble3D val="0"/>
            <c:spPr>
              <a:solidFill>
                <a:schemeClr val="accent3">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D-2A85-294C-A4D8-529DE9687670}"/>
              </c:ext>
            </c:extLst>
          </c:dPt>
          <c:dPt>
            <c:idx val="15"/>
            <c:bubble3D val="0"/>
            <c:spPr>
              <a:solidFill>
                <a:schemeClr val="accent4">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F-2A85-294C-A4D8-529DE9687670}"/>
              </c:ext>
            </c:extLst>
          </c:dPt>
          <c:dLbls>
            <c:dLbl>
              <c:idx val="0"/>
              <c:layout>
                <c:manualLayout>
                  <c:x val="0.11796246648793553"/>
                  <c:y val="0.235710716056639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A85-294C-A4D8-529DE9687670}"/>
                </c:ext>
              </c:extLst>
            </c:dLbl>
            <c:dLbl>
              <c:idx val="1"/>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2A85-294C-A4D8-529DE9687670}"/>
                </c:ext>
              </c:extLst>
            </c:dLbl>
            <c:dLbl>
              <c:idx val="2"/>
              <c:layout>
                <c:manualLayout>
                  <c:x val="-1.6117395355079188E-2"/>
                  <c:y val="8.5519803104196754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2A85-294C-A4D8-529DE9687670}"/>
                </c:ext>
              </c:extLst>
            </c:dLbl>
            <c:dLbl>
              <c:idx val="3"/>
              <c:layout>
                <c:manualLayout>
                  <c:x val="-0.11894662134784774"/>
                  <c:y val="0.21934446775467945"/>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2A85-294C-A4D8-529DE9687670}"/>
                </c:ext>
              </c:extLst>
            </c:dLbl>
            <c:dLbl>
              <c:idx val="4"/>
              <c:layout>
                <c:manualLayout>
                  <c:x val="-0.1269095197908521"/>
                  <c:y val="0.1872586255437793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9-2A85-294C-A4D8-529DE9687670}"/>
                </c:ext>
              </c:extLst>
            </c:dLbl>
            <c:dLbl>
              <c:idx val="5"/>
              <c:layout>
                <c:manualLayout>
                  <c:x val="-0.14061407515800939"/>
                  <c:y val="0.14907300947243177"/>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6"/>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B-2A85-294C-A4D8-529DE9687670}"/>
                </c:ext>
              </c:extLst>
            </c:dLbl>
            <c:dLbl>
              <c:idx val="6"/>
              <c:layout>
                <c:manualLayout>
                  <c:x val="-0.27718775566033599"/>
                  <c:y val="0.1250290167016319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1">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2A85-294C-A4D8-529DE9687670}"/>
                </c:ext>
              </c:extLst>
            </c:dLbl>
            <c:dLbl>
              <c:idx val="7"/>
              <c:layout>
                <c:manualLayout>
                  <c:x val="-0.19783956209013695"/>
                  <c:y val="5.552534306914058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F-2A85-294C-A4D8-529DE9687670}"/>
                </c:ext>
              </c:extLst>
            </c:dLbl>
            <c:dLbl>
              <c:idx val="8"/>
              <c:layout>
                <c:manualLayout>
                  <c:x val="-0.16514951855206889"/>
                  <c:y val="1.171639012251496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1-2A85-294C-A4D8-529DE9687670}"/>
                </c:ext>
              </c:extLst>
            </c:dLbl>
            <c:dLbl>
              <c:idx val="9"/>
              <c:layout>
                <c:manualLayout>
                  <c:x val="-0.25153978171607605"/>
                  <c:y val="-7.152149233940913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2A85-294C-A4D8-529DE9687670}"/>
                </c:ext>
              </c:extLst>
            </c:dLbl>
            <c:dLbl>
              <c:idx val="10"/>
              <c:layout>
                <c:manualLayout>
                  <c:x val="-0.11862250462659996"/>
                  <c:y val="-8.7846417962824996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5">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5-2A85-294C-A4D8-529DE9687670}"/>
                </c:ext>
              </c:extLst>
            </c:dLbl>
            <c:dLbl>
              <c:idx val="11"/>
              <c:layout>
                <c:manualLayout>
                  <c:x val="-0.11288881662653526"/>
                  <c:y val="-0.21473567101690144"/>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accent6">
                          <a:lumMod val="6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4601867981841501"/>
                      <c:h val="6.1111989029053015E-2"/>
                    </c:manualLayout>
                  </c15:layout>
                </c:ext>
                <c:ext xmlns:c16="http://schemas.microsoft.com/office/drawing/2014/chart" uri="{C3380CC4-5D6E-409C-BE32-E72D297353CC}">
                  <c16:uniqueId val="{00000017-2A85-294C-A4D8-529DE9687670}"/>
                </c:ext>
              </c:extLst>
            </c:dLbl>
            <c:dLbl>
              <c:idx val="12"/>
              <c:layout>
                <c:manualLayout>
                  <c:x val="6.0425871718782082E-2"/>
                  <c:y val="-0.11670068405386907"/>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accent1">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7577817522072275"/>
                      <c:h val="5.9654160876949205E-2"/>
                    </c:manualLayout>
                  </c15:layout>
                </c:ext>
                <c:ext xmlns:c16="http://schemas.microsoft.com/office/drawing/2014/chart" uri="{C3380CC4-5D6E-409C-BE32-E72D297353CC}">
                  <c16:uniqueId val="{00000019-2A85-294C-A4D8-529DE9687670}"/>
                </c:ext>
              </c:extLst>
            </c:dLbl>
            <c:dLbl>
              <c:idx val="13"/>
              <c:layout>
                <c:manualLayout>
                  <c:x val="0.28239499553172476"/>
                  <c:y val="-0.14951783900781451"/>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2">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B-2A85-294C-A4D8-529DE9687670}"/>
                </c:ext>
              </c:extLst>
            </c:dLbl>
            <c:dLbl>
              <c:idx val="14"/>
              <c:layout>
                <c:manualLayout>
                  <c:x val="0.25737265415549598"/>
                  <c:y val="-1.613342747682622E-2"/>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3">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D-2A85-294C-A4D8-529DE9687670}"/>
                </c:ext>
              </c:extLst>
            </c:dLbl>
            <c:dLbl>
              <c:idx val="15"/>
              <c:layout>
                <c:manualLayout>
                  <c:x val="0.27524575513851651"/>
                  <c:y val="0.11889914399818201"/>
                </c:manualLayout>
              </c:layout>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4">
                          <a:lumMod val="80000"/>
                          <a:lumOff val="2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F-2A85-294C-A4D8-529DE9687670}"/>
                </c:ext>
              </c:extLst>
            </c:dLbl>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'DETALHE FST MENSAL'!$C$12:$C$27</c:f>
              <c:strCache>
                <c:ptCount val="15"/>
                <c:pt idx="0">
                  <c:v>Trabalhos especializados</c:v>
                </c:pt>
                <c:pt idx="1">
                  <c:v>Rendas e alugueres</c:v>
                </c:pt>
                <c:pt idx="2">
                  <c:v>Despesas de representação</c:v>
                </c:pt>
                <c:pt idx="3">
                  <c:v>Manutenção e reparação</c:v>
                </c:pt>
                <c:pt idx="4">
                  <c:v>Combustíveis </c:v>
                </c:pt>
                <c:pt idx="5">
                  <c:v>Outros fornecimentos e serviços</c:v>
                </c:pt>
                <c:pt idx="6">
                  <c:v>Comunicações</c:v>
                </c:pt>
                <c:pt idx="7">
                  <c:v>Ferramentas e utensílios de desgaste rápido</c:v>
                </c:pt>
                <c:pt idx="8">
                  <c:v>Livros e documentação técnica</c:v>
                </c:pt>
                <c:pt idx="9">
                  <c:v>Material de Escritório</c:v>
                </c:pt>
                <c:pt idx="10">
                  <c:v>Publicidade e propaganda</c:v>
                </c:pt>
                <c:pt idx="11">
                  <c:v>Electricidade</c:v>
                </c:pt>
                <c:pt idx="12">
                  <c:v>Deslocações e estadias</c:v>
                </c:pt>
                <c:pt idx="13">
                  <c:v>Limpeza, higiene e conforto</c:v>
                </c:pt>
                <c:pt idx="14">
                  <c:v>Material de Manutenção e Reparação</c:v>
                </c:pt>
              </c:strCache>
            </c:strRef>
          </c:cat>
          <c:val>
            <c:numRef>
              <c:f>'DETALHE FST MENSAL'!$I$12:$I$27</c:f>
              <c:numCache>
                <c:formatCode>0.00%;\(0.00%\)</c:formatCode>
                <c:ptCount val="16"/>
                <c:pt idx="0">
                  <c:v>0.31648213839852901</c:v>
                </c:pt>
                <c:pt idx="1">
                  <c:v>0.19875162973361044</c:v>
                </c:pt>
                <c:pt idx="2">
                  <c:v>0.17903549954367345</c:v>
                </c:pt>
                <c:pt idx="3">
                  <c:v>7.4166978872723555E-2</c:v>
                </c:pt>
                <c:pt idx="4">
                  <c:v>6.7258142044193087E-2</c:v>
                </c:pt>
                <c:pt idx="5">
                  <c:v>6.5371809804962322E-2</c:v>
                </c:pt>
                <c:pt idx="6">
                  <c:v>4.2432649242011226E-2</c:v>
                </c:pt>
                <c:pt idx="7">
                  <c:v>1.5282603629600369E-2</c:v>
                </c:pt>
                <c:pt idx="8">
                  <c:v>1.405742586670272E-2</c:v>
                </c:pt>
                <c:pt idx="9">
                  <c:v>8.8968661094512985E-3</c:v>
                </c:pt>
                <c:pt idx="10">
                  <c:v>5.7016919315346229E-3</c:v>
                </c:pt>
                <c:pt idx="11">
                  <c:v>5.086825747095393E-3</c:v>
                </c:pt>
                <c:pt idx="12">
                  <c:v>4.759844398465541E-3</c:v>
                </c:pt>
                <c:pt idx="13">
                  <c:v>2.2491881386724351E-3</c:v>
                </c:pt>
                <c:pt idx="14">
                  <c:v>4.6670653877453031E-4</c:v>
                </c:pt>
                <c:pt idx="15">
                  <c:v>0</c:v>
                </c:pt>
              </c:numCache>
            </c:numRef>
          </c:val>
          <c:extLst>
            <c:ext xmlns:c16="http://schemas.microsoft.com/office/drawing/2014/chart" uri="{C3380CC4-5D6E-409C-BE32-E72D297353CC}">
              <c16:uniqueId val="{00000020-2A85-294C-A4D8-529DE9687670}"/>
            </c:ext>
          </c:extLst>
        </c:ser>
        <c:dLbls>
          <c:dLblPos val="outEnd"/>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M$5"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205;NDICE!A1"/></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image" Target="../media/image7.png"/><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6.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7.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8.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9.png"/></Relationships>
</file>

<file path=xl/drawings/_rels/drawing31.xml.rels><?xml version="1.0" encoding="UTF-8" standalone="yes"?>
<Relationships xmlns="http://schemas.openxmlformats.org/package/2006/relationships"><Relationship Id="rId1" Type="http://schemas.openxmlformats.org/officeDocument/2006/relationships/image" Target="../media/image8.png"/></Relationships>
</file>

<file path=xl/drawings/_rels/drawing32.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31.png"/><Relationship Id="rId1" Type="http://schemas.openxmlformats.org/officeDocument/2006/relationships/image" Target="../media/image30.png"/><Relationship Id="rId4" Type="http://schemas.openxmlformats.org/officeDocument/2006/relationships/image" Target="../media/image33.png"/></Relationships>
</file>

<file path=xl/drawings/_rels/drawing33.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 Id="rId9" Type="http://schemas.openxmlformats.org/officeDocument/2006/relationships/image" Target="../media/image13.png"/></Relationships>
</file>

<file path=xl/drawings/_rels/drawing34.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chart" Target="../charts/chart28.xml"/></Relationships>
</file>

<file path=xl/drawings/_rels/drawing36.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29.xml"/></Relationships>
</file>

<file path=xl/drawings/_rels/drawing37.xml.rels><?xml version="1.0" encoding="UTF-8" standalone="yes"?>
<Relationships xmlns="http://schemas.openxmlformats.org/package/2006/relationships"><Relationship Id="rId1" Type="http://schemas.openxmlformats.org/officeDocument/2006/relationships/image" Target="../media/image34.png"/></Relationships>
</file>

<file path=xl/drawings/drawing1.xml><?xml version="1.0" encoding="utf-8"?>
<xdr:wsDr xmlns:xdr="http://schemas.openxmlformats.org/drawingml/2006/spreadsheetDrawing" xmlns:a="http://schemas.openxmlformats.org/drawingml/2006/main">
  <xdr:twoCellAnchor>
    <xdr:from>
      <xdr:col>8</xdr:col>
      <xdr:colOff>533400</xdr:colOff>
      <xdr:row>22</xdr:row>
      <xdr:rowOff>114300</xdr:rowOff>
    </xdr:from>
    <xdr:to>
      <xdr:col>10</xdr:col>
      <xdr:colOff>552450</xdr:colOff>
      <xdr:row>24</xdr:row>
      <xdr:rowOff>47625</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876800" y="5095875"/>
          <a:ext cx="1238250" cy="31432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100" b="1"/>
            <a:t>ÍNDICE</a:t>
          </a:r>
        </a:p>
      </xdr:txBody>
    </xdr:sp>
    <xdr:clientData/>
  </xdr:twoCellAnchor>
  <xdr:twoCellAnchor editAs="oneCell">
    <xdr:from>
      <xdr:col>1</xdr:col>
      <xdr:colOff>50800</xdr:colOff>
      <xdr:row>21</xdr:row>
      <xdr:rowOff>114300</xdr:rowOff>
    </xdr:from>
    <xdr:to>
      <xdr:col>3</xdr:col>
      <xdr:colOff>609600</xdr:colOff>
      <xdr:row>25</xdr:row>
      <xdr:rowOff>127000</xdr:rowOff>
    </xdr:to>
    <xdr:pic>
      <xdr:nvPicPr>
        <xdr:cNvPr id="4" name="Pictur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9700" y="4889500"/>
          <a:ext cx="1955800" cy="7747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2717800</xdr:colOff>
      <xdr:row>26</xdr:row>
      <xdr:rowOff>25400</xdr:rowOff>
    </xdr:from>
    <xdr:to>
      <xdr:col>4</xdr:col>
      <xdr:colOff>25400</xdr:colOff>
      <xdr:row>29</xdr:row>
      <xdr:rowOff>38100</xdr:rowOff>
    </xdr:to>
    <xdr:pic>
      <xdr:nvPicPr>
        <xdr:cNvPr id="4" name="Picture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70800" y="6540500"/>
          <a:ext cx="1600200" cy="5842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1193800</xdr:colOff>
      <xdr:row>42</xdr:row>
      <xdr:rowOff>63500</xdr:rowOff>
    </xdr:from>
    <xdr:to>
      <xdr:col>7</xdr:col>
      <xdr:colOff>12700</xdr:colOff>
      <xdr:row>44</xdr:row>
      <xdr:rowOff>152400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505700" y="11036300"/>
          <a:ext cx="1333500" cy="46990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965200</xdr:colOff>
      <xdr:row>26</xdr:row>
      <xdr:rowOff>63500</xdr:rowOff>
    </xdr:from>
    <xdr:to>
      <xdr:col>6</xdr:col>
      <xdr:colOff>1168400</xdr:colOff>
      <xdr:row>47</xdr:row>
      <xdr:rowOff>38100</xdr:rowOff>
    </xdr:to>
    <xdr:pic>
      <xdr:nvPicPr>
        <xdr:cNvPr id="3" name="Picture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7100" y="8128000"/>
          <a:ext cx="1460500" cy="546100"/>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385762</xdr:colOff>
      <xdr:row>22</xdr:row>
      <xdr:rowOff>95250</xdr:rowOff>
    </xdr:from>
    <xdr:to>
      <xdr:col>2</xdr:col>
      <xdr:colOff>38100</xdr:colOff>
      <xdr:row>30</xdr:row>
      <xdr:rowOff>123825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1422400</xdr:colOff>
      <xdr:row>30</xdr:row>
      <xdr:rowOff>12700</xdr:rowOff>
    </xdr:from>
    <xdr:to>
      <xdr:col>5</xdr:col>
      <xdr:colOff>25400</xdr:colOff>
      <xdr:row>60</xdr:row>
      <xdr:rowOff>101600</xdr:rowOff>
    </xdr:to>
    <xdr:pic>
      <xdr:nvPicPr>
        <xdr:cNvPr id="4" name="Picture 3">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6600" y="7150100"/>
          <a:ext cx="1333500" cy="469900"/>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1181100</xdr:colOff>
      <xdr:row>35</xdr:row>
      <xdr:rowOff>76200</xdr:rowOff>
    </xdr:from>
    <xdr:to>
      <xdr:col>5</xdr:col>
      <xdr:colOff>2514600</xdr:colOff>
      <xdr:row>37</xdr:row>
      <xdr:rowOff>139700</xdr:rowOff>
    </xdr:to>
    <xdr:pic>
      <xdr:nvPicPr>
        <xdr:cNvPr id="3" name="Picture 2">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39200" y="9347200"/>
          <a:ext cx="1333500" cy="469900"/>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1193800</xdr:colOff>
      <xdr:row>11</xdr:row>
      <xdr:rowOff>190500</xdr:rowOff>
    </xdr:from>
    <xdr:to>
      <xdr:col>6</xdr:col>
      <xdr:colOff>0</xdr:colOff>
      <xdr:row>14</xdr:row>
      <xdr:rowOff>50800</xdr:rowOff>
    </xdr:to>
    <xdr:pic>
      <xdr:nvPicPr>
        <xdr:cNvPr id="3" name="Picture 2">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51900" y="8902700"/>
          <a:ext cx="1333500" cy="46990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228600</xdr:colOff>
      <xdr:row>29</xdr:row>
      <xdr:rowOff>0</xdr:rowOff>
    </xdr:from>
    <xdr:to>
      <xdr:col>6</xdr:col>
      <xdr:colOff>638175</xdr:colOff>
      <xdr:row>37</xdr:row>
      <xdr:rowOff>114300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63719</xdr:colOff>
      <xdr:row>28</xdr:row>
      <xdr:rowOff>189515</xdr:rowOff>
    </xdr:from>
    <xdr:to>
      <xdr:col>9</xdr:col>
      <xdr:colOff>225972</xdr:colOff>
      <xdr:row>37</xdr:row>
      <xdr:rowOff>113315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276225</xdr:colOff>
      <xdr:row>37</xdr:row>
      <xdr:rowOff>152399</xdr:rowOff>
    </xdr:from>
    <xdr:to>
      <xdr:col>4</xdr:col>
      <xdr:colOff>9525</xdr:colOff>
      <xdr:row>49</xdr:row>
      <xdr:rowOff>104774</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4762</xdr:colOff>
      <xdr:row>40</xdr:row>
      <xdr:rowOff>19050</xdr:rowOff>
    </xdr:from>
    <xdr:to>
      <xdr:col>8</xdr:col>
      <xdr:colOff>514350</xdr:colOff>
      <xdr:row>49</xdr:row>
      <xdr:rowOff>61912</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660400</xdr:colOff>
      <xdr:row>72</xdr:row>
      <xdr:rowOff>0</xdr:rowOff>
    </xdr:from>
    <xdr:to>
      <xdr:col>10</xdr:col>
      <xdr:colOff>38100</xdr:colOff>
      <xdr:row>74</xdr:row>
      <xdr:rowOff>88900</xdr:rowOff>
    </xdr:to>
    <xdr:pic>
      <xdr:nvPicPr>
        <xdr:cNvPr id="8" name="Picture 7">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563100" y="14033500"/>
          <a:ext cx="1333500" cy="46990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977900</xdr:colOff>
      <xdr:row>420</xdr:row>
      <xdr:rowOff>165100</xdr:rowOff>
    </xdr:from>
    <xdr:to>
      <xdr:col>9</xdr:col>
      <xdr:colOff>0</xdr:colOff>
      <xdr:row>423</xdr:row>
      <xdr:rowOff>63500</xdr:rowOff>
    </xdr:to>
    <xdr:pic>
      <xdr:nvPicPr>
        <xdr:cNvPr id="3" name="Picture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98300" y="44081700"/>
          <a:ext cx="1333500" cy="46990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9525</xdr:colOff>
      <xdr:row>71</xdr:row>
      <xdr:rowOff>28575</xdr:rowOff>
    </xdr:from>
    <xdr:to>
      <xdr:col>1</xdr:col>
      <xdr:colOff>3781425</xdr:colOff>
      <xdr:row>72</xdr:row>
      <xdr:rowOff>114300</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85725" y="14430375"/>
          <a:ext cx="3771900" cy="485775"/>
        </a:xfrm>
        <a:prstGeom prst="rect">
          <a:avLst/>
        </a:prstGeom>
        <a:solidFill>
          <a:schemeClr val="accent4">
            <a:lumMod val="40000"/>
            <a:lumOff val="60000"/>
          </a:schemeClr>
        </a:solidFill>
        <a:ln w="9525" cmpd="sng">
          <a:solidFill>
            <a:schemeClr val="accent4">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NOTA: </a:t>
          </a:r>
          <a:r>
            <a:rPr lang="en-GB" sz="1100"/>
            <a:t>Os</a:t>
          </a:r>
          <a:r>
            <a:rPr lang="en-GB" sz="1100" baseline="0"/>
            <a:t> valores para esta Demonstração de Resultados devem ser carregados na folha "DETALHE GANHOS E GASTOS"</a:t>
          </a:r>
          <a:endParaRPr lang="en-GB" sz="1100"/>
        </a:p>
      </xdr:txBody>
    </xdr:sp>
    <xdr:clientData fPrintsWithSheet="0"/>
  </xdr:twoCellAnchor>
  <xdr:twoCellAnchor editAs="oneCell">
    <xdr:from>
      <xdr:col>6</xdr:col>
      <xdr:colOff>1044222</xdr:colOff>
      <xdr:row>66</xdr:row>
      <xdr:rowOff>70556</xdr:rowOff>
    </xdr:from>
    <xdr:to>
      <xdr:col>8</xdr:col>
      <xdr:colOff>7056</xdr:colOff>
      <xdr:row>68</xdr:row>
      <xdr:rowOff>145345</xdr:rowOff>
    </xdr:to>
    <xdr:pic>
      <xdr:nvPicPr>
        <xdr:cNvPr id="7" name="Picture 6">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74778" y="13828889"/>
          <a:ext cx="1333500" cy="469900"/>
        </a:xfrm>
        <a:prstGeom prst="rect">
          <a:avLst/>
        </a:prstGeom>
        <a:noFill/>
        <a:ln>
          <a:noFill/>
        </a:ln>
      </xdr:spPr>
    </xdr:pic>
    <xdr:clientData/>
  </xdr:twoCellAnchor>
  <xdr:twoCellAnchor editAs="oneCell">
    <xdr:from>
      <xdr:col>7</xdr:col>
      <xdr:colOff>1</xdr:colOff>
      <xdr:row>88</xdr:row>
      <xdr:rowOff>84666</xdr:rowOff>
    </xdr:from>
    <xdr:to>
      <xdr:col>7</xdr:col>
      <xdr:colOff>812448</xdr:colOff>
      <xdr:row>90</xdr:row>
      <xdr:rowOff>84666</xdr:rowOff>
    </xdr:to>
    <xdr:pic>
      <xdr:nvPicPr>
        <xdr:cNvPr id="8" name="Picture 7">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669890" y="18457333"/>
          <a:ext cx="917222" cy="395111"/>
        </a:xfrm>
        <a:prstGeom prst="rect">
          <a:avLst/>
        </a:prstGeom>
        <a:noFill/>
        <a:ln>
          <a:noFill/>
        </a:ln>
      </xdr:spPr>
    </xdr:pic>
    <xdr:clientData/>
  </xdr:twoCellAnchor>
  <xdr:twoCellAnchor editAs="oneCell">
    <xdr:from>
      <xdr:col>6</xdr:col>
      <xdr:colOff>1382888</xdr:colOff>
      <xdr:row>109</xdr:row>
      <xdr:rowOff>70556</xdr:rowOff>
    </xdr:from>
    <xdr:to>
      <xdr:col>7</xdr:col>
      <xdr:colOff>807507</xdr:colOff>
      <xdr:row>111</xdr:row>
      <xdr:rowOff>131233</xdr:rowOff>
    </xdr:to>
    <xdr:pic>
      <xdr:nvPicPr>
        <xdr:cNvPr id="9" name="Picture 8">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613444" y="22662445"/>
          <a:ext cx="987777" cy="455788"/>
        </a:xfrm>
        <a:prstGeom prst="rect">
          <a:avLst/>
        </a:prstGeom>
        <a:noFill/>
        <a:ln>
          <a:noFill/>
        </a:ln>
      </xdr:spPr>
    </xdr:pic>
    <xdr:clientData/>
  </xdr:twoCellAnchor>
  <xdr:twoCellAnchor editAs="oneCell">
    <xdr:from>
      <xdr:col>6</xdr:col>
      <xdr:colOff>1298220</xdr:colOff>
      <xdr:row>149</xdr:row>
      <xdr:rowOff>28221</xdr:rowOff>
    </xdr:from>
    <xdr:to>
      <xdr:col>7</xdr:col>
      <xdr:colOff>810329</xdr:colOff>
      <xdr:row>151</xdr:row>
      <xdr:rowOff>84666</xdr:rowOff>
    </xdr:to>
    <xdr:pic>
      <xdr:nvPicPr>
        <xdr:cNvPr id="10" name="Picture 9">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528776" y="31002110"/>
          <a:ext cx="1037167" cy="451556"/>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95250</xdr:colOff>
      <xdr:row>9</xdr:row>
      <xdr:rowOff>76200</xdr:rowOff>
    </xdr:from>
    <xdr:to>
      <xdr:col>4</xdr:col>
      <xdr:colOff>76200</xdr:colOff>
      <xdr:row>25</xdr:row>
      <xdr:rowOff>180975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133350</xdr:colOff>
      <xdr:row>9</xdr:row>
      <xdr:rowOff>76200</xdr:rowOff>
    </xdr:from>
    <xdr:to>
      <xdr:col>8</xdr:col>
      <xdr:colOff>714375</xdr:colOff>
      <xdr:row>25</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95250</xdr:colOff>
      <xdr:row>26</xdr:row>
      <xdr:rowOff>66675</xdr:rowOff>
    </xdr:from>
    <xdr:to>
      <xdr:col>4</xdr:col>
      <xdr:colOff>76200</xdr:colOff>
      <xdr:row>44</xdr:row>
      <xdr:rowOff>76200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133350</xdr:colOff>
      <xdr:row>26</xdr:row>
      <xdr:rowOff>66675</xdr:rowOff>
    </xdr:from>
    <xdr:to>
      <xdr:col>8</xdr:col>
      <xdr:colOff>714375</xdr:colOff>
      <xdr:row>44</xdr:row>
      <xdr:rowOff>76200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44</xdr:row>
      <xdr:rowOff>133350</xdr:rowOff>
    </xdr:from>
    <xdr:to>
      <xdr:col>4</xdr:col>
      <xdr:colOff>76200</xdr:colOff>
      <xdr:row>62</xdr:row>
      <xdr:rowOff>142875</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133350</xdr:colOff>
      <xdr:row>44</xdr:row>
      <xdr:rowOff>133350</xdr:rowOff>
    </xdr:from>
    <xdr:to>
      <xdr:col>8</xdr:col>
      <xdr:colOff>714375</xdr:colOff>
      <xdr:row>62</xdr:row>
      <xdr:rowOff>142875</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95250</xdr:colOff>
      <xdr:row>63</xdr:row>
      <xdr:rowOff>9525</xdr:rowOff>
    </xdr:from>
    <xdr:to>
      <xdr:col>4</xdr:col>
      <xdr:colOff>76200</xdr:colOff>
      <xdr:row>81</xdr:row>
      <xdr:rowOff>19050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133350</xdr:colOff>
      <xdr:row>63</xdr:row>
      <xdr:rowOff>9525</xdr:rowOff>
    </xdr:from>
    <xdr:to>
      <xdr:col>8</xdr:col>
      <xdr:colOff>714375</xdr:colOff>
      <xdr:row>81</xdr:row>
      <xdr:rowOff>19050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7</xdr:col>
      <xdr:colOff>1384300</xdr:colOff>
      <xdr:row>82</xdr:row>
      <xdr:rowOff>38100</xdr:rowOff>
    </xdr:from>
    <xdr:to>
      <xdr:col>8</xdr:col>
      <xdr:colOff>889000</xdr:colOff>
      <xdr:row>84</xdr:row>
      <xdr:rowOff>88900</xdr:rowOff>
    </xdr:to>
    <xdr:pic>
      <xdr:nvPicPr>
        <xdr:cNvPr id="12" name="Picture 11">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2204700" y="16268700"/>
          <a:ext cx="939800" cy="431800"/>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9525</xdr:colOff>
      <xdr:row>11</xdr:row>
      <xdr:rowOff>104774</xdr:rowOff>
    </xdr:from>
    <xdr:to>
      <xdr:col>7</xdr:col>
      <xdr:colOff>666750</xdr:colOff>
      <xdr:row>39</xdr:row>
      <xdr:rowOff>66675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1320800</xdr:colOff>
      <xdr:row>41</xdr:row>
      <xdr:rowOff>0</xdr:rowOff>
    </xdr:from>
    <xdr:to>
      <xdr:col>9</xdr:col>
      <xdr:colOff>0</xdr:colOff>
      <xdr:row>43</xdr:row>
      <xdr:rowOff>88900</xdr:rowOff>
    </xdr:to>
    <xdr:pic>
      <xdr:nvPicPr>
        <xdr:cNvPr id="4" name="Picture 3">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41200" y="8420100"/>
          <a:ext cx="1041400" cy="469900"/>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76199</xdr:colOff>
      <xdr:row>32</xdr:row>
      <xdr:rowOff>0</xdr:rowOff>
    </xdr:from>
    <xdr:to>
      <xdr:col>8</xdr:col>
      <xdr:colOff>723899</xdr:colOff>
      <xdr:row>65</xdr:row>
      <xdr:rowOff>19050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12700</xdr:colOff>
      <xdr:row>67</xdr:row>
      <xdr:rowOff>63500</xdr:rowOff>
    </xdr:from>
    <xdr:to>
      <xdr:col>9</xdr:col>
      <xdr:colOff>12700</xdr:colOff>
      <xdr:row>69</xdr:row>
      <xdr:rowOff>76200</xdr:rowOff>
    </xdr:to>
    <xdr:pic>
      <xdr:nvPicPr>
        <xdr:cNvPr id="4" name="Picture 3">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6200" y="13411200"/>
          <a:ext cx="927100" cy="393700"/>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1743075</xdr:colOff>
      <xdr:row>15</xdr:row>
      <xdr:rowOff>71437</xdr:rowOff>
    </xdr:from>
    <xdr:to>
      <xdr:col>7</xdr:col>
      <xdr:colOff>57149</xdr:colOff>
      <xdr:row>225</xdr:row>
      <xdr:rowOff>147637</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1346200</xdr:colOff>
      <xdr:row>228</xdr:row>
      <xdr:rowOff>152400</xdr:rowOff>
    </xdr:from>
    <xdr:to>
      <xdr:col>7</xdr:col>
      <xdr:colOff>889000</xdr:colOff>
      <xdr:row>231</xdr:row>
      <xdr:rowOff>25400</xdr:rowOff>
    </xdr:to>
    <xdr:pic>
      <xdr:nvPicPr>
        <xdr:cNvPr id="4" name="Picture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18700" y="6934200"/>
          <a:ext cx="977900" cy="444500"/>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13</xdr:col>
      <xdr:colOff>1790700</xdr:colOff>
      <xdr:row>27</xdr:row>
      <xdr:rowOff>76200</xdr:rowOff>
    </xdr:from>
    <xdr:to>
      <xdr:col>14</xdr:col>
      <xdr:colOff>12700</xdr:colOff>
      <xdr:row>422</xdr:row>
      <xdr:rowOff>114300</xdr:rowOff>
    </xdr:to>
    <xdr:pic>
      <xdr:nvPicPr>
        <xdr:cNvPr id="3" name="Picture 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25800" y="5727700"/>
          <a:ext cx="1028700" cy="419100"/>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6</xdr:col>
      <xdr:colOff>1104900</xdr:colOff>
      <xdr:row>35</xdr:row>
      <xdr:rowOff>177800</xdr:rowOff>
    </xdr:from>
    <xdr:to>
      <xdr:col>7</xdr:col>
      <xdr:colOff>0</xdr:colOff>
      <xdr:row>37</xdr:row>
      <xdr:rowOff>38100</xdr:rowOff>
    </xdr:to>
    <xdr:pic>
      <xdr:nvPicPr>
        <xdr:cNvPr id="3" name="Picture 2">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25100" y="12700000"/>
          <a:ext cx="990600" cy="266700"/>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1104900</xdr:colOff>
      <xdr:row>20</xdr:row>
      <xdr:rowOff>157162</xdr:rowOff>
    </xdr:from>
    <xdr:to>
      <xdr:col>7</xdr:col>
      <xdr:colOff>619125</xdr:colOff>
      <xdr:row>35</xdr:row>
      <xdr:rowOff>42862</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482600</xdr:colOff>
      <xdr:row>50</xdr:row>
      <xdr:rowOff>88900</xdr:rowOff>
    </xdr:from>
    <xdr:to>
      <xdr:col>8</xdr:col>
      <xdr:colOff>0</xdr:colOff>
      <xdr:row>52</xdr:row>
      <xdr:rowOff>38100</xdr:rowOff>
    </xdr:to>
    <xdr:pic>
      <xdr:nvPicPr>
        <xdr:cNvPr id="4" name="Picture 3">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02800" y="10553700"/>
          <a:ext cx="952500" cy="330200"/>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1104900</xdr:colOff>
      <xdr:row>23</xdr:row>
      <xdr:rowOff>157162</xdr:rowOff>
    </xdr:from>
    <xdr:to>
      <xdr:col>7</xdr:col>
      <xdr:colOff>619125</xdr:colOff>
      <xdr:row>38</xdr:row>
      <xdr:rowOff>42862</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482600</xdr:colOff>
      <xdr:row>40</xdr:row>
      <xdr:rowOff>0</xdr:rowOff>
    </xdr:from>
    <xdr:to>
      <xdr:col>7</xdr:col>
      <xdr:colOff>1409700</xdr:colOff>
      <xdr:row>42</xdr:row>
      <xdr:rowOff>76200</xdr:rowOff>
    </xdr:to>
    <xdr:pic>
      <xdr:nvPicPr>
        <xdr:cNvPr id="4" name="Picture 3">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26600" y="8255000"/>
          <a:ext cx="927100" cy="457200"/>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46</xdr:col>
      <xdr:colOff>279400</xdr:colOff>
      <xdr:row>34</xdr:row>
      <xdr:rowOff>38100</xdr:rowOff>
    </xdr:from>
    <xdr:to>
      <xdr:col>46</xdr:col>
      <xdr:colOff>1206500</xdr:colOff>
      <xdr:row>36</xdr:row>
      <xdr:rowOff>114300</xdr:rowOff>
    </xdr:to>
    <xdr:pic>
      <xdr:nvPicPr>
        <xdr:cNvPr id="3" name="Picture 2">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421800" y="7505700"/>
          <a:ext cx="927100" cy="457200"/>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6</xdr:col>
      <xdr:colOff>1598706</xdr:colOff>
      <xdr:row>38</xdr:row>
      <xdr:rowOff>29881</xdr:rowOff>
    </xdr:from>
    <xdr:to>
      <xdr:col>7</xdr:col>
      <xdr:colOff>747</xdr:colOff>
      <xdr:row>40</xdr:row>
      <xdr:rowOff>68728</xdr:rowOff>
    </xdr:to>
    <xdr:pic>
      <xdr:nvPicPr>
        <xdr:cNvPr id="3" name="Picture 2">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06000" y="13312587"/>
          <a:ext cx="927100" cy="457200"/>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6</xdr:col>
      <xdr:colOff>3122706</xdr:colOff>
      <xdr:row>47</xdr:row>
      <xdr:rowOff>134471</xdr:rowOff>
    </xdr:from>
    <xdr:to>
      <xdr:col>7</xdr:col>
      <xdr:colOff>15688</xdr:colOff>
      <xdr:row>49</xdr:row>
      <xdr:rowOff>173318</xdr:rowOff>
    </xdr:to>
    <xdr:pic>
      <xdr:nvPicPr>
        <xdr:cNvPr id="3" name="Picture 2">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951882" y="14567647"/>
          <a:ext cx="927100" cy="457200"/>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6</xdr:col>
      <xdr:colOff>3361765</xdr:colOff>
      <xdr:row>26</xdr:row>
      <xdr:rowOff>14941</xdr:rowOff>
    </xdr:from>
    <xdr:to>
      <xdr:col>7</xdr:col>
      <xdr:colOff>15689</xdr:colOff>
      <xdr:row>28</xdr:row>
      <xdr:rowOff>83671</xdr:rowOff>
    </xdr:to>
    <xdr:pic>
      <xdr:nvPicPr>
        <xdr:cNvPr id="3" name="Picture 2">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02471" y="13208000"/>
          <a:ext cx="927100" cy="457200"/>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3316941</xdr:colOff>
      <xdr:row>26</xdr:row>
      <xdr:rowOff>14941</xdr:rowOff>
    </xdr:from>
    <xdr:to>
      <xdr:col>6</xdr:col>
      <xdr:colOff>4244041</xdr:colOff>
      <xdr:row>28</xdr:row>
      <xdr:rowOff>83671</xdr:rowOff>
    </xdr:to>
    <xdr:pic>
      <xdr:nvPicPr>
        <xdr:cNvPr id="3" name="Picture 2">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57647" y="13208000"/>
          <a:ext cx="927100" cy="457200"/>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866775</xdr:colOff>
          <xdr:row>4</xdr:row>
          <xdr:rowOff>28575</xdr:rowOff>
        </xdr:from>
        <xdr:to>
          <xdr:col>4</xdr:col>
          <xdr:colOff>581025</xdr:colOff>
          <xdr:row>5</xdr:row>
          <xdr:rowOff>0</xdr:rowOff>
        </xdr:to>
        <xdr:sp macro="" textlink="">
          <xdr:nvSpPr>
            <xdr:cNvPr id="22530" name="Option Button 2" hidden="1">
              <a:extLst>
                <a:ext uri="{63B3BB69-23CF-44E3-9099-C40C66FF867C}">
                  <a14:compatExt spid="_x0000_s22530"/>
                </a:ext>
                <a:ext uri="{FF2B5EF4-FFF2-40B4-BE49-F238E27FC236}">
                  <a16:creationId xmlns:a16="http://schemas.microsoft.com/office/drawing/2014/main" id="{00000000-0008-0000-1700-000002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pt-PT"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4</xdr:row>
          <xdr:rowOff>28575</xdr:rowOff>
        </xdr:from>
        <xdr:to>
          <xdr:col>4</xdr:col>
          <xdr:colOff>1209675</xdr:colOff>
          <xdr:row>5</xdr:row>
          <xdr:rowOff>0</xdr:rowOff>
        </xdr:to>
        <xdr:sp macro="" textlink="">
          <xdr:nvSpPr>
            <xdr:cNvPr id="22531" name="Option Button 3" hidden="1">
              <a:extLst>
                <a:ext uri="{63B3BB69-23CF-44E3-9099-C40C66FF867C}">
                  <a14:compatExt spid="_x0000_s22531"/>
                </a:ext>
                <a:ext uri="{FF2B5EF4-FFF2-40B4-BE49-F238E27FC236}">
                  <a16:creationId xmlns:a16="http://schemas.microsoft.com/office/drawing/2014/main" id="{00000000-0008-0000-1700-000003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pt-PT" sz="800" b="0" i="0" u="none" strike="noStrike" baseline="0">
                  <a:solidFill>
                    <a:srgbClr val="000000"/>
                  </a:solidFill>
                  <a:latin typeface="Segoe UI"/>
                  <a:cs typeface="Segoe UI"/>
                </a:rPr>
                <a:t>NÃO</a:t>
              </a:r>
            </a:p>
          </xdr:txBody>
        </xdr:sp>
        <xdr:clientData/>
      </xdr:twoCellAnchor>
    </mc:Choice>
    <mc:Fallback/>
  </mc:AlternateContent>
  <xdr:twoCellAnchor editAs="oneCell">
    <xdr:from>
      <xdr:col>9</xdr:col>
      <xdr:colOff>1195294</xdr:colOff>
      <xdr:row>40</xdr:row>
      <xdr:rowOff>209177</xdr:rowOff>
    </xdr:from>
    <xdr:to>
      <xdr:col>10</xdr:col>
      <xdr:colOff>29882</xdr:colOff>
      <xdr:row>41</xdr:row>
      <xdr:rowOff>128493</xdr:rowOff>
    </xdr:to>
    <xdr:pic>
      <xdr:nvPicPr>
        <xdr:cNvPr id="5" name="Picture 4">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4235" y="13790706"/>
          <a:ext cx="851647" cy="277905"/>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6</xdr:col>
      <xdr:colOff>1371600</xdr:colOff>
      <xdr:row>221</xdr:row>
      <xdr:rowOff>25400</xdr:rowOff>
    </xdr:from>
    <xdr:to>
      <xdr:col>7</xdr:col>
      <xdr:colOff>863600</xdr:colOff>
      <xdr:row>223</xdr:row>
      <xdr:rowOff>101600</xdr:rowOff>
    </xdr:to>
    <xdr:pic>
      <xdr:nvPicPr>
        <xdr:cNvPr id="3" name="Picture 2">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56900" y="43383200"/>
          <a:ext cx="927100" cy="457200"/>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4</xdr:col>
      <xdr:colOff>1422400</xdr:colOff>
      <xdr:row>59</xdr:row>
      <xdr:rowOff>50800</xdr:rowOff>
    </xdr:from>
    <xdr:to>
      <xdr:col>5</xdr:col>
      <xdr:colOff>914400</xdr:colOff>
      <xdr:row>61</xdr:row>
      <xdr:rowOff>127000</xdr:rowOff>
    </xdr:to>
    <xdr:pic>
      <xdr:nvPicPr>
        <xdr:cNvPr id="3" name="Picture 2">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75500" y="12928600"/>
          <a:ext cx="927100" cy="457200"/>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457200</xdr:colOff>
      <xdr:row>45</xdr:row>
      <xdr:rowOff>0</xdr:rowOff>
    </xdr:from>
    <xdr:to>
      <xdr:col>8</xdr:col>
      <xdr:colOff>12700</xdr:colOff>
      <xdr:row>46</xdr:row>
      <xdr:rowOff>139700</xdr:rowOff>
    </xdr:to>
    <xdr:pic>
      <xdr:nvPicPr>
        <xdr:cNvPr id="3" name="Picture 2">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629900" y="10833100"/>
          <a:ext cx="889000" cy="330200"/>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xdr:from>
      <xdr:col>7</xdr:col>
      <xdr:colOff>9525</xdr:colOff>
      <xdr:row>14</xdr:row>
      <xdr:rowOff>95250</xdr:rowOff>
    </xdr:from>
    <xdr:to>
      <xdr:col>8</xdr:col>
      <xdr:colOff>19050</xdr:colOff>
      <xdr:row>14</xdr:row>
      <xdr:rowOff>95250</xdr:rowOff>
    </xdr:to>
    <xdr:cxnSp macro="">
      <xdr:nvCxnSpPr>
        <xdr:cNvPr id="31" name="Straight Connector 30">
          <a:extLst>
            <a:ext uri="{FF2B5EF4-FFF2-40B4-BE49-F238E27FC236}">
              <a16:creationId xmlns:a16="http://schemas.microsoft.com/office/drawing/2014/main" id="{00000000-0008-0000-1B00-00001F000000}"/>
            </a:ext>
          </a:extLst>
        </xdr:cNvPr>
        <xdr:cNvCxnSpPr/>
      </xdr:nvCxnSpPr>
      <xdr:spPr>
        <a:xfrm>
          <a:off x="3924300" y="4438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14</xdr:row>
      <xdr:rowOff>95250</xdr:rowOff>
    </xdr:from>
    <xdr:to>
      <xdr:col>8</xdr:col>
      <xdr:colOff>19050</xdr:colOff>
      <xdr:row>14</xdr:row>
      <xdr:rowOff>95250</xdr:rowOff>
    </xdr:to>
    <xdr:cxnSp macro="">
      <xdr:nvCxnSpPr>
        <xdr:cNvPr id="32" name="Straight Connector 31">
          <a:extLst>
            <a:ext uri="{FF2B5EF4-FFF2-40B4-BE49-F238E27FC236}">
              <a16:creationId xmlns:a16="http://schemas.microsoft.com/office/drawing/2014/main" id="{00000000-0008-0000-1B00-000020000000}"/>
            </a:ext>
          </a:extLst>
        </xdr:cNvPr>
        <xdr:cNvCxnSpPr/>
      </xdr:nvCxnSpPr>
      <xdr:spPr>
        <a:xfrm>
          <a:off x="3924300" y="4438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12</xdr:row>
      <xdr:rowOff>85727</xdr:rowOff>
    </xdr:from>
    <xdr:to>
      <xdr:col>7</xdr:col>
      <xdr:colOff>9525</xdr:colOff>
      <xdr:row>16</xdr:row>
      <xdr:rowOff>19050</xdr:rowOff>
    </xdr:to>
    <xdr:cxnSp macro="">
      <xdr:nvCxnSpPr>
        <xdr:cNvPr id="33" name="Straight Connector 32">
          <a:extLst>
            <a:ext uri="{FF2B5EF4-FFF2-40B4-BE49-F238E27FC236}">
              <a16:creationId xmlns:a16="http://schemas.microsoft.com/office/drawing/2014/main" id="{00000000-0008-0000-1B00-000021000000}"/>
            </a:ext>
          </a:extLst>
        </xdr:cNvPr>
        <xdr:cNvCxnSpPr/>
      </xdr:nvCxnSpPr>
      <xdr:spPr>
        <a:xfrm flipV="1">
          <a:off x="4638675" y="2714627"/>
          <a:ext cx="0" cy="695323"/>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12</xdr:row>
      <xdr:rowOff>95250</xdr:rowOff>
    </xdr:from>
    <xdr:to>
      <xdr:col>7</xdr:col>
      <xdr:colOff>19050</xdr:colOff>
      <xdr:row>12</xdr:row>
      <xdr:rowOff>95250</xdr:rowOff>
    </xdr:to>
    <xdr:cxnSp macro="">
      <xdr:nvCxnSpPr>
        <xdr:cNvPr id="37" name="Straight Connector 36">
          <a:extLst>
            <a:ext uri="{FF2B5EF4-FFF2-40B4-BE49-F238E27FC236}">
              <a16:creationId xmlns:a16="http://schemas.microsoft.com/office/drawing/2014/main" id="{00000000-0008-0000-1B00-000025000000}"/>
            </a:ext>
          </a:extLst>
        </xdr:cNvPr>
        <xdr:cNvCxnSpPr/>
      </xdr:nvCxnSpPr>
      <xdr:spPr>
        <a:xfrm>
          <a:off x="3743325" y="7105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16</xdr:row>
      <xdr:rowOff>9525</xdr:rowOff>
    </xdr:from>
    <xdr:to>
      <xdr:col>7</xdr:col>
      <xdr:colOff>19050</xdr:colOff>
      <xdr:row>16</xdr:row>
      <xdr:rowOff>9525</xdr:rowOff>
    </xdr:to>
    <xdr:cxnSp macro="">
      <xdr:nvCxnSpPr>
        <xdr:cNvPr id="38" name="Straight Connector 37">
          <a:extLst>
            <a:ext uri="{FF2B5EF4-FFF2-40B4-BE49-F238E27FC236}">
              <a16:creationId xmlns:a16="http://schemas.microsoft.com/office/drawing/2014/main" id="{00000000-0008-0000-1B00-000026000000}"/>
            </a:ext>
          </a:extLst>
        </xdr:cNvPr>
        <xdr:cNvCxnSpPr/>
      </xdr:nvCxnSpPr>
      <xdr:spPr>
        <a:xfrm>
          <a:off x="4457700" y="3400425"/>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17</xdr:row>
      <xdr:rowOff>9525</xdr:rowOff>
    </xdr:from>
    <xdr:to>
      <xdr:col>7</xdr:col>
      <xdr:colOff>9525</xdr:colOff>
      <xdr:row>20</xdr:row>
      <xdr:rowOff>104776</xdr:rowOff>
    </xdr:to>
    <xdr:cxnSp macro="">
      <xdr:nvCxnSpPr>
        <xdr:cNvPr id="45" name="Straight Connector 44">
          <a:extLst>
            <a:ext uri="{FF2B5EF4-FFF2-40B4-BE49-F238E27FC236}">
              <a16:creationId xmlns:a16="http://schemas.microsoft.com/office/drawing/2014/main" id="{00000000-0008-0000-1B00-00002D000000}"/>
            </a:ext>
          </a:extLst>
        </xdr:cNvPr>
        <xdr:cNvCxnSpPr/>
      </xdr:nvCxnSpPr>
      <xdr:spPr>
        <a:xfrm flipH="1" flipV="1">
          <a:off x="4638675" y="3590925"/>
          <a:ext cx="0" cy="666751"/>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24</xdr:row>
      <xdr:rowOff>95250</xdr:rowOff>
    </xdr:from>
    <xdr:to>
      <xdr:col>7</xdr:col>
      <xdr:colOff>19050</xdr:colOff>
      <xdr:row>24</xdr:row>
      <xdr:rowOff>95250</xdr:rowOff>
    </xdr:to>
    <xdr:cxnSp macro="">
      <xdr:nvCxnSpPr>
        <xdr:cNvPr id="46" name="Straight Connector 45">
          <a:extLst>
            <a:ext uri="{FF2B5EF4-FFF2-40B4-BE49-F238E27FC236}">
              <a16:creationId xmlns:a16="http://schemas.microsoft.com/office/drawing/2014/main" id="{00000000-0008-0000-1B00-00002E000000}"/>
            </a:ext>
          </a:extLst>
        </xdr:cNvPr>
        <xdr:cNvCxnSpPr/>
      </xdr:nvCxnSpPr>
      <xdr:spPr>
        <a:xfrm>
          <a:off x="6991350" y="6724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28</xdr:row>
      <xdr:rowOff>95250</xdr:rowOff>
    </xdr:from>
    <xdr:to>
      <xdr:col>7</xdr:col>
      <xdr:colOff>19050</xdr:colOff>
      <xdr:row>28</xdr:row>
      <xdr:rowOff>95250</xdr:rowOff>
    </xdr:to>
    <xdr:cxnSp macro="">
      <xdr:nvCxnSpPr>
        <xdr:cNvPr id="47" name="Straight Connector 46">
          <a:extLst>
            <a:ext uri="{FF2B5EF4-FFF2-40B4-BE49-F238E27FC236}">
              <a16:creationId xmlns:a16="http://schemas.microsoft.com/office/drawing/2014/main" id="{00000000-0008-0000-1B00-00002F000000}"/>
            </a:ext>
          </a:extLst>
        </xdr:cNvPr>
        <xdr:cNvCxnSpPr/>
      </xdr:nvCxnSpPr>
      <xdr:spPr>
        <a:xfrm>
          <a:off x="6991350" y="7486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8471</xdr:colOff>
      <xdr:row>24</xdr:row>
      <xdr:rowOff>98536</xdr:rowOff>
    </xdr:from>
    <xdr:to>
      <xdr:col>7</xdr:col>
      <xdr:colOff>8471</xdr:colOff>
      <xdr:row>28</xdr:row>
      <xdr:rowOff>104775</xdr:rowOff>
    </xdr:to>
    <xdr:cxnSp macro="">
      <xdr:nvCxnSpPr>
        <xdr:cNvPr id="48" name="Straight Connector 47">
          <a:extLst>
            <a:ext uri="{FF2B5EF4-FFF2-40B4-BE49-F238E27FC236}">
              <a16:creationId xmlns:a16="http://schemas.microsoft.com/office/drawing/2014/main" id="{00000000-0008-0000-1B00-000030000000}"/>
            </a:ext>
          </a:extLst>
        </xdr:cNvPr>
        <xdr:cNvCxnSpPr/>
      </xdr:nvCxnSpPr>
      <xdr:spPr>
        <a:xfrm flipH="1" flipV="1">
          <a:off x="7171271" y="6727936"/>
          <a:ext cx="0" cy="768239"/>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18</xdr:row>
      <xdr:rowOff>95250</xdr:rowOff>
    </xdr:from>
    <xdr:to>
      <xdr:col>8</xdr:col>
      <xdr:colOff>19050</xdr:colOff>
      <xdr:row>18</xdr:row>
      <xdr:rowOff>95250</xdr:rowOff>
    </xdr:to>
    <xdr:cxnSp macro="">
      <xdr:nvCxnSpPr>
        <xdr:cNvPr id="49" name="Straight Connector 48">
          <a:extLst>
            <a:ext uri="{FF2B5EF4-FFF2-40B4-BE49-F238E27FC236}">
              <a16:creationId xmlns:a16="http://schemas.microsoft.com/office/drawing/2014/main" id="{00000000-0008-0000-1B00-000031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18</xdr:row>
      <xdr:rowOff>95250</xdr:rowOff>
    </xdr:from>
    <xdr:to>
      <xdr:col>8</xdr:col>
      <xdr:colOff>19050</xdr:colOff>
      <xdr:row>18</xdr:row>
      <xdr:rowOff>95250</xdr:rowOff>
    </xdr:to>
    <xdr:cxnSp macro="">
      <xdr:nvCxnSpPr>
        <xdr:cNvPr id="50" name="Straight Connector 49">
          <a:extLst>
            <a:ext uri="{FF2B5EF4-FFF2-40B4-BE49-F238E27FC236}">
              <a16:creationId xmlns:a16="http://schemas.microsoft.com/office/drawing/2014/main" id="{00000000-0008-0000-1B00-000032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1" name="Straight Connector 50">
          <a:extLst>
            <a:ext uri="{FF2B5EF4-FFF2-40B4-BE49-F238E27FC236}">
              <a16:creationId xmlns:a16="http://schemas.microsoft.com/office/drawing/2014/main" id="{00000000-0008-0000-1B00-000033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2" name="Straight Connector 51">
          <a:extLst>
            <a:ext uri="{FF2B5EF4-FFF2-40B4-BE49-F238E27FC236}">
              <a16:creationId xmlns:a16="http://schemas.microsoft.com/office/drawing/2014/main" id="{00000000-0008-0000-1B00-000034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18</xdr:row>
      <xdr:rowOff>95250</xdr:rowOff>
    </xdr:from>
    <xdr:to>
      <xdr:col>8</xdr:col>
      <xdr:colOff>19050</xdr:colOff>
      <xdr:row>18</xdr:row>
      <xdr:rowOff>95250</xdr:rowOff>
    </xdr:to>
    <xdr:cxnSp macro="">
      <xdr:nvCxnSpPr>
        <xdr:cNvPr id="53" name="Straight Connector 52">
          <a:extLst>
            <a:ext uri="{FF2B5EF4-FFF2-40B4-BE49-F238E27FC236}">
              <a16:creationId xmlns:a16="http://schemas.microsoft.com/office/drawing/2014/main" id="{00000000-0008-0000-1B00-000035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18</xdr:row>
      <xdr:rowOff>95250</xdr:rowOff>
    </xdr:from>
    <xdr:to>
      <xdr:col>8</xdr:col>
      <xdr:colOff>19050</xdr:colOff>
      <xdr:row>18</xdr:row>
      <xdr:rowOff>95250</xdr:rowOff>
    </xdr:to>
    <xdr:cxnSp macro="">
      <xdr:nvCxnSpPr>
        <xdr:cNvPr id="54" name="Straight Connector 53">
          <a:extLst>
            <a:ext uri="{FF2B5EF4-FFF2-40B4-BE49-F238E27FC236}">
              <a16:creationId xmlns:a16="http://schemas.microsoft.com/office/drawing/2014/main" id="{00000000-0008-0000-1B00-000036000000}"/>
            </a:ext>
          </a:extLst>
        </xdr:cNvPr>
        <xdr:cNvCxnSpPr/>
      </xdr:nvCxnSpPr>
      <xdr:spPr>
        <a:xfrm>
          <a:off x="7172325" y="5010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5" name="Straight Connector 54">
          <a:extLst>
            <a:ext uri="{FF2B5EF4-FFF2-40B4-BE49-F238E27FC236}">
              <a16:creationId xmlns:a16="http://schemas.microsoft.com/office/drawing/2014/main" id="{00000000-0008-0000-1B00-000037000000}"/>
            </a:ext>
          </a:extLst>
        </xdr:cNvPr>
        <xdr:cNvCxnSpPr/>
      </xdr:nvCxnSpPr>
      <xdr:spPr>
        <a:xfrm>
          <a:off x="7172325" y="7105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6" name="Straight Connector 55">
          <a:extLst>
            <a:ext uri="{FF2B5EF4-FFF2-40B4-BE49-F238E27FC236}">
              <a16:creationId xmlns:a16="http://schemas.microsoft.com/office/drawing/2014/main" id="{00000000-0008-0000-1B00-000038000000}"/>
            </a:ext>
          </a:extLst>
        </xdr:cNvPr>
        <xdr:cNvCxnSpPr/>
      </xdr:nvCxnSpPr>
      <xdr:spPr>
        <a:xfrm>
          <a:off x="7172325" y="7105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7" name="Straight Connector 56">
          <a:extLst>
            <a:ext uri="{FF2B5EF4-FFF2-40B4-BE49-F238E27FC236}">
              <a16:creationId xmlns:a16="http://schemas.microsoft.com/office/drawing/2014/main" id="{00000000-0008-0000-1B00-000039000000}"/>
            </a:ext>
          </a:extLst>
        </xdr:cNvPr>
        <xdr:cNvCxnSpPr/>
      </xdr:nvCxnSpPr>
      <xdr:spPr>
        <a:xfrm>
          <a:off x="7172325" y="7105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26</xdr:row>
      <xdr:rowOff>95250</xdr:rowOff>
    </xdr:from>
    <xdr:to>
      <xdr:col>8</xdr:col>
      <xdr:colOff>19050</xdr:colOff>
      <xdr:row>26</xdr:row>
      <xdr:rowOff>95250</xdr:rowOff>
    </xdr:to>
    <xdr:cxnSp macro="">
      <xdr:nvCxnSpPr>
        <xdr:cNvPr id="58" name="Straight Connector 57">
          <a:extLst>
            <a:ext uri="{FF2B5EF4-FFF2-40B4-BE49-F238E27FC236}">
              <a16:creationId xmlns:a16="http://schemas.microsoft.com/office/drawing/2014/main" id="{00000000-0008-0000-1B00-00003A000000}"/>
            </a:ext>
          </a:extLst>
        </xdr:cNvPr>
        <xdr:cNvCxnSpPr/>
      </xdr:nvCxnSpPr>
      <xdr:spPr>
        <a:xfrm>
          <a:off x="7172325" y="7105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18</xdr:row>
      <xdr:rowOff>95250</xdr:rowOff>
    </xdr:from>
    <xdr:to>
      <xdr:col>12</xdr:col>
      <xdr:colOff>19050</xdr:colOff>
      <xdr:row>18</xdr:row>
      <xdr:rowOff>95250</xdr:rowOff>
    </xdr:to>
    <xdr:cxnSp macro="">
      <xdr:nvCxnSpPr>
        <xdr:cNvPr id="62" name="Straight Connector 61">
          <a:extLst>
            <a:ext uri="{FF2B5EF4-FFF2-40B4-BE49-F238E27FC236}">
              <a16:creationId xmlns:a16="http://schemas.microsoft.com/office/drawing/2014/main" id="{00000000-0008-0000-1B00-00003E000000}"/>
            </a:ext>
          </a:extLst>
        </xdr:cNvPr>
        <xdr:cNvCxnSpPr/>
      </xdr:nvCxnSpPr>
      <xdr:spPr>
        <a:xfrm>
          <a:off x="6991350" y="6915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14</xdr:row>
      <xdr:rowOff>95250</xdr:rowOff>
    </xdr:from>
    <xdr:to>
      <xdr:col>12</xdr:col>
      <xdr:colOff>9525</xdr:colOff>
      <xdr:row>18</xdr:row>
      <xdr:rowOff>95250</xdr:rowOff>
    </xdr:to>
    <xdr:cxnSp macro="">
      <xdr:nvCxnSpPr>
        <xdr:cNvPr id="63" name="Straight Connector 62">
          <a:extLst>
            <a:ext uri="{FF2B5EF4-FFF2-40B4-BE49-F238E27FC236}">
              <a16:creationId xmlns:a16="http://schemas.microsoft.com/office/drawing/2014/main" id="{00000000-0008-0000-1B00-00003F000000}"/>
            </a:ext>
          </a:extLst>
        </xdr:cNvPr>
        <xdr:cNvCxnSpPr/>
      </xdr:nvCxnSpPr>
      <xdr:spPr>
        <a:xfrm flipH="1" flipV="1">
          <a:off x="8601075" y="3105150"/>
          <a:ext cx="0" cy="76200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26</xdr:row>
      <xdr:rowOff>95250</xdr:rowOff>
    </xdr:from>
    <xdr:to>
      <xdr:col>12</xdr:col>
      <xdr:colOff>19050</xdr:colOff>
      <xdr:row>26</xdr:row>
      <xdr:rowOff>95250</xdr:rowOff>
    </xdr:to>
    <xdr:cxnSp macro="">
      <xdr:nvCxnSpPr>
        <xdr:cNvPr id="65" name="Straight Connector 64">
          <a:extLst>
            <a:ext uri="{FF2B5EF4-FFF2-40B4-BE49-F238E27FC236}">
              <a16:creationId xmlns:a16="http://schemas.microsoft.com/office/drawing/2014/main" id="{00000000-0008-0000-1B00-000041000000}"/>
            </a:ext>
          </a:extLst>
        </xdr:cNvPr>
        <xdr:cNvCxnSpPr/>
      </xdr:nvCxnSpPr>
      <xdr:spPr>
        <a:xfrm>
          <a:off x="6991350" y="9201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30</xdr:row>
      <xdr:rowOff>95250</xdr:rowOff>
    </xdr:from>
    <xdr:to>
      <xdr:col>12</xdr:col>
      <xdr:colOff>19050</xdr:colOff>
      <xdr:row>30</xdr:row>
      <xdr:rowOff>95250</xdr:rowOff>
    </xdr:to>
    <xdr:cxnSp macro="">
      <xdr:nvCxnSpPr>
        <xdr:cNvPr id="66" name="Straight Connector 65">
          <a:extLst>
            <a:ext uri="{FF2B5EF4-FFF2-40B4-BE49-F238E27FC236}">
              <a16:creationId xmlns:a16="http://schemas.microsoft.com/office/drawing/2014/main" id="{00000000-0008-0000-1B00-000042000000}"/>
            </a:ext>
          </a:extLst>
        </xdr:cNvPr>
        <xdr:cNvCxnSpPr/>
      </xdr:nvCxnSpPr>
      <xdr:spPr>
        <a:xfrm>
          <a:off x="6991350" y="9963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8471</xdr:colOff>
      <xdr:row>26</xdr:row>
      <xdr:rowOff>98536</xdr:rowOff>
    </xdr:from>
    <xdr:to>
      <xdr:col>12</xdr:col>
      <xdr:colOff>8471</xdr:colOff>
      <xdr:row>30</xdr:row>
      <xdr:rowOff>104775</xdr:rowOff>
    </xdr:to>
    <xdr:cxnSp macro="">
      <xdr:nvCxnSpPr>
        <xdr:cNvPr id="67" name="Straight Connector 66">
          <a:extLst>
            <a:ext uri="{FF2B5EF4-FFF2-40B4-BE49-F238E27FC236}">
              <a16:creationId xmlns:a16="http://schemas.microsoft.com/office/drawing/2014/main" id="{00000000-0008-0000-1B00-000043000000}"/>
            </a:ext>
          </a:extLst>
        </xdr:cNvPr>
        <xdr:cNvCxnSpPr/>
      </xdr:nvCxnSpPr>
      <xdr:spPr>
        <a:xfrm flipH="1" flipV="1">
          <a:off x="7171271" y="9204436"/>
          <a:ext cx="0" cy="768239"/>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68" name="Straight Connector 67">
          <a:extLst>
            <a:ext uri="{FF2B5EF4-FFF2-40B4-BE49-F238E27FC236}">
              <a16:creationId xmlns:a16="http://schemas.microsoft.com/office/drawing/2014/main" id="{00000000-0008-0000-1B00-000044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69" name="Straight Connector 68">
          <a:extLst>
            <a:ext uri="{FF2B5EF4-FFF2-40B4-BE49-F238E27FC236}">
              <a16:creationId xmlns:a16="http://schemas.microsoft.com/office/drawing/2014/main" id="{00000000-0008-0000-1B00-000045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0" name="Straight Connector 69">
          <a:extLst>
            <a:ext uri="{FF2B5EF4-FFF2-40B4-BE49-F238E27FC236}">
              <a16:creationId xmlns:a16="http://schemas.microsoft.com/office/drawing/2014/main" id="{00000000-0008-0000-1B00-000046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1" name="Straight Connector 70">
          <a:extLst>
            <a:ext uri="{FF2B5EF4-FFF2-40B4-BE49-F238E27FC236}">
              <a16:creationId xmlns:a16="http://schemas.microsoft.com/office/drawing/2014/main" id="{00000000-0008-0000-1B00-000047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2" name="Straight Connector 71">
          <a:extLst>
            <a:ext uri="{FF2B5EF4-FFF2-40B4-BE49-F238E27FC236}">
              <a16:creationId xmlns:a16="http://schemas.microsoft.com/office/drawing/2014/main" id="{00000000-0008-0000-1B00-000048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3" name="Straight Connector 72">
          <a:extLst>
            <a:ext uri="{FF2B5EF4-FFF2-40B4-BE49-F238E27FC236}">
              <a16:creationId xmlns:a16="http://schemas.microsoft.com/office/drawing/2014/main" id="{00000000-0008-0000-1B00-000049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4" name="Straight Connector 73">
          <a:extLst>
            <a:ext uri="{FF2B5EF4-FFF2-40B4-BE49-F238E27FC236}">
              <a16:creationId xmlns:a16="http://schemas.microsoft.com/office/drawing/2014/main" id="{00000000-0008-0000-1B00-00004A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5" name="Straight Connector 74">
          <a:extLst>
            <a:ext uri="{FF2B5EF4-FFF2-40B4-BE49-F238E27FC236}">
              <a16:creationId xmlns:a16="http://schemas.microsoft.com/office/drawing/2014/main" id="{00000000-0008-0000-1B00-00004B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6" name="Straight Connector 75">
          <a:extLst>
            <a:ext uri="{FF2B5EF4-FFF2-40B4-BE49-F238E27FC236}">
              <a16:creationId xmlns:a16="http://schemas.microsoft.com/office/drawing/2014/main" id="{00000000-0008-0000-1B00-00004C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7" name="Straight Connector 76">
          <a:extLst>
            <a:ext uri="{FF2B5EF4-FFF2-40B4-BE49-F238E27FC236}">
              <a16:creationId xmlns:a16="http://schemas.microsoft.com/office/drawing/2014/main" id="{00000000-0008-0000-1B00-00004D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8" name="Straight Connector 77">
          <a:extLst>
            <a:ext uri="{FF2B5EF4-FFF2-40B4-BE49-F238E27FC236}">
              <a16:creationId xmlns:a16="http://schemas.microsoft.com/office/drawing/2014/main" id="{00000000-0008-0000-1B00-00004E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28</xdr:row>
      <xdr:rowOff>95250</xdr:rowOff>
    </xdr:from>
    <xdr:to>
      <xdr:col>13</xdr:col>
      <xdr:colOff>19050</xdr:colOff>
      <xdr:row>28</xdr:row>
      <xdr:rowOff>95250</xdr:rowOff>
    </xdr:to>
    <xdr:cxnSp macro="">
      <xdr:nvCxnSpPr>
        <xdr:cNvPr id="79" name="Straight Connector 78">
          <a:extLst>
            <a:ext uri="{FF2B5EF4-FFF2-40B4-BE49-F238E27FC236}">
              <a16:creationId xmlns:a16="http://schemas.microsoft.com/office/drawing/2014/main" id="{00000000-0008-0000-1B00-00004F000000}"/>
            </a:ext>
          </a:extLst>
        </xdr:cNvPr>
        <xdr:cNvCxnSpPr/>
      </xdr:nvCxnSpPr>
      <xdr:spPr>
        <a:xfrm>
          <a:off x="717232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21</xdr:row>
      <xdr:rowOff>95250</xdr:rowOff>
    </xdr:from>
    <xdr:to>
      <xdr:col>18</xdr:col>
      <xdr:colOff>19050</xdr:colOff>
      <xdr:row>21</xdr:row>
      <xdr:rowOff>95250</xdr:rowOff>
    </xdr:to>
    <xdr:cxnSp macro="">
      <xdr:nvCxnSpPr>
        <xdr:cNvPr id="80" name="Straight Connector 79">
          <a:extLst>
            <a:ext uri="{FF2B5EF4-FFF2-40B4-BE49-F238E27FC236}">
              <a16:creationId xmlns:a16="http://schemas.microsoft.com/office/drawing/2014/main" id="{00000000-0008-0000-1B00-000050000000}"/>
            </a:ext>
          </a:extLst>
        </xdr:cNvPr>
        <xdr:cNvCxnSpPr/>
      </xdr:nvCxnSpPr>
      <xdr:spPr>
        <a:xfrm>
          <a:off x="10420350" y="6153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21</xdr:row>
      <xdr:rowOff>95250</xdr:rowOff>
    </xdr:from>
    <xdr:to>
      <xdr:col>18</xdr:col>
      <xdr:colOff>19050</xdr:colOff>
      <xdr:row>21</xdr:row>
      <xdr:rowOff>95250</xdr:rowOff>
    </xdr:to>
    <xdr:cxnSp macro="">
      <xdr:nvCxnSpPr>
        <xdr:cNvPr id="81" name="Straight Connector 80">
          <a:extLst>
            <a:ext uri="{FF2B5EF4-FFF2-40B4-BE49-F238E27FC236}">
              <a16:creationId xmlns:a16="http://schemas.microsoft.com/office/drawing/2014/main" id="{00000000-0008-0000-1B00-000051000000}"/>
            </a:ext>
          </a:extLst>
        </xdr:cNvPr>
        <xdr:cNvCxnSpPr/>
      </xdr:nvCxnSpPr>
      <xdr:spPr>
        <a:xfrm>
          <a:off x="10420350" y="6153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9525</xdr:colOff>
      <xdr:row>28</xdr:row>
      <xdr:rowOff>95250</xdr:rowOff>
    </xdr:from>
    <xdr:to>
      <xdr:col>17</xdr:col>
      <xdr:colOff>19050</xdr:colOff>
      <xdr:row>28</xdr:row>
      <xdr:rowOff>95250</xdr:rowOff>
    </xdr:to>
    <xdr:cxnSp macro="">
      <xdr:nvCxnSpPr>
        <xdr:cNvPr id="82" name="Straight Connector 81">
          <a:extLst>
            <a:ext uri="{FF2B5EF4-FFF2-40B4-BE49-F238E27FC236}">
              <a16:creationId xmlns:a16="http://schemas.microsoft.com/office/drawing/2014/main" id="{00000000-0008-0000-1B00-000052000000}"/>
            </a:ext>
          </a:extLst>
        </xdr:cNvPr>
        <xdr:cNvCxnSpPr/>
      </xdr:nvCxnSpPr>
      <xdr:spPr>
        <a:xfrm>
          <a:off x="10239375" y="958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16</xdr:row>
      <xdr:rowOff>104775</xdr:rowOff>
    </xdr:from>
    <xdr:to>
      <xdr:col>17</xdr:col>
      <xdr:colOff>9525</xdr:colOff>
      <xdr:row>28</xdr:row>
      <xdr:rowOff>95250</xdr:rowOff>
    </xdr:to>
    <xdr:cxnSp macro="">
      <xdr:nvCxnSpPr>
        <xdr:cNvPr id="84" name="Straight Connector 83">
          <a:extLst>
            <a:ext uri="{FF2B5EF4-FFF2-40B4-BE49-F238E27FC236}">
              <a16:creationId xmlns:a16="http://schemas.microsoft.com/office/drawing/2014/main" id="{00000000-0008-0000-1B00-000054000000}"/>
            </a:ext>
          </a:extLst>
        </xdr:cNvPr>
        <xdr:cNvCxnSpPr/>
      </xdr:nvCxnSpPr>
      <xdr:spPr>
        <a:xfrm flipH="1" flipV="1">
          <a:off x="12563475" y="3495675"/>
          <a:ext cx="0" cy="2276475"/>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17</xdr:row>
      <xdr:rowOff>9525</xdr:rowOff>
    </xdr:from>
    <xdr:to>
      <xdr:col>7</xdr:col>
      <xdr:colOff>9525</xdr:colOff>
      <xdr:row>17</xdr:row>
      <xdr:rowOff>9525</xdr:rowOff>
    </xdr:to>
    <xdr:cxnSp macro="">
      <xdr:nvCxnSpPr>
        <xdr:cNvPr id="88" name="Straight Connector 87">
          <a:extLst>
            <a:ext uri="{FF2B5EF4-FFF2-40B4-BE49-F238E27FC236}">
              <a16:creationId xmlns:a16="http://schemas.microsoft.com/office/drawing/2014/main" id="{00000000-0008-0000-1B00-000058000000}"/>
            </a:ext>
          </a:extLst>
        </xdr:cNvPr>
        <xdr:cNvCxnSpPr/>
      </xdr:nvCxnSpPr>
      <xdr:spPr>
        <a:xfrm>
          <a:off x="4448175" y="3590925"/>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xdr:row>
      <xdr:rowOff>95250</xdr:rowOff>
    </xdr:from>
    <xdr:to>
      <xdr:col>12</xdr:col>
      <xdr:colOff>19050</xdr:colOff>
      <xdr:row>14</xdr:row>
      <xdr:rowOff>95250</xdr:rowOff>
    </xdr:to>
    <xdr:cxnSp macro="">
      <xdr:nvCxnSpPr>
        <xdr:cNvPr id="89" name="Straight Connector 88">
          <a:extLst>
            <a:ext uri="{FF2B5EF4-FFF2-40B4-BE49-F238E27FC236}">
              <a16:creationId xmlns:a16="http://schemas.microsoft.com/office/drawing/2014/main" id="{00000000-0008-0000-1B00-000059000000}"/>
            </a:ext>
          </a:extLst>
        </xdr:cNvPr>
        <xdr:cNvCxnSpPr/>
      </xdr:nvCxnSpPr>
      <xdr:spPr>
        <a:xfrm>
          <a:off x="8420100" y="3867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16</xdr:row>
      <xdr:rowOff>104775</xdr:rowOff>
    </xdr:from>
    <xdr:to>
      <xdr:col>17</xdr:col>
      <xdr:colOff>9525</xdr:colOff>
      <xdr:row>16</xdr:row>
      <xdr:rowOff>104775</xdr:rowOff>
    </xdr:to>
    <xdr:cxnSp macro="">
      <xdr:nvCxnSpPr>
        <xdr:cNvPr id="91" name="Straight Connector 90">
          <a:extLst>
            <a:ext uri="{FF2B5EF4-FFF2-40B4-BE49-F238E27FC236}">
              <a16:creationId xmlns:a16="http://schemas.microsoft.com/office/drawing/2014/main" id="{00000000-0008-0000-1B00-00005B000000}"/>
            </a:ext>
          </a:extLst>
        </xdr:cNvPr>
        <xdr:cNvCxnSpPr/>
      </xdr:nvCxnSpPr>
      <xdr:spPr>
        <a:xfrm>
          <a:off x="12372975" y="3495675"/>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16</xdr:row>
      <xdr:rowOff>95250</xdr:rowOff>
    </xdr:from>
    <xdr:to>
      <xdr:col>13</xdr:col>
      <xdr:colOff>19050</xdr:colOff>
      <xdr:row>16</xdr:row>
      <xdr:rowOff>95250</xdr:rowOff>
    </xdr:to>
    <xdr:cxnSp macro="">
      <xdr:nvCxnSpPr>
        <xdr:cNvPr id="93" name="Straight Connector 92">
          <a:extLst>
            <a:ext uri="{FF2B5EF4-FFF2-40B4-BE49-F238E27FC236}">
              <a16:creationId xmlns:a16="http://schemas.microsoft.com/office/drawing/2014/main" id="{00000000-0008-0000-1B00-00005D000000}"/>
            </a:ext>
          </a:extLst>
        </xdr:cNvPr>
        <xdr:cNvCxnSpPr/>
      </xdr:nvCxnSpPr>
      <xdr:spPr>
        <a:xfrm>
          <a:off x="12563475" y="4438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16</xdr:row>
      <xdr:rowOff>95250</xdr:rowOff>
    </xdr:from>
    <xdr:to>
      <xdr:col>13</xdr:col>
      <xdr:colOff>19050</xdr:colOff>
      <xdr:row>16</xdr:row>
      <xdr:rowOff>95250</xdr:rowOff>
    </xdr:to>
    <xdr:cxnSp macro="">
      <xdr:nvCxnSpPr>
        <xdr:cNvPr id="94" name="Straight Connector 93">
          <a:extLst>
            <a:ext uri="{FF2B5EF4-FFF2-40B4-BE49-F238E27FC236}">
              <a16:creationId xmlns:a16="http://schemas.microsoft.com/office/drawing/2014/main" id="{00000000-0008-0000-1B00-00005E000000}"/>
            </a:ext>
          </a:extLst>
        </xdr:cNvPr>
        <xdr:cNvCxnSpPr/>
      </xdr:nvCxnSpPr>
      <xdr:spPr>
        <a:xfrm>
          <a:off x="12563475" y="44386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95250</xdr:rowOff>
    </xdr:from>
    <xdr:to>
      <xdr:col>7</xdr:col>
      <xdr:colOff>19050</xdr:colOff>
      <xdr:row>20</xdr:row>
      <xdr:rowOff>95250</xdr:rowOff>
    </xdr:to>
    <xdr:cxnSp macro="">
      <xdr:nvCxnSpPr>
        <xdr:cNvPr id="95" name="Straight Connector 94">
          <a:extLst>
            <a:ext uri="{FF2B5EF4-FFF2-40B4-BE49-F238E27FC236}">
              <a16:creationId xmlns:a16="http://schemas.microsoft.com/office/drawing/2014/main" id="{00000000-0008-0000-1B00-00005F000000}"/>
            </a:ext>
          </a:extLst>
        </xdr:cNvPr>
        <xdr:cNvCxnSpPr/>
      </xdr:nvCxnSpPr>
      <xdr:spPr>
        <a:xfrm>
          <a:off x="4457700" y="5772150"/>
          <a:ext cx="190500" cy="0"/>
        </a:xfrm>
        <a:prstGeom prst="line">
          <a:avLst/>
        </a:prstGeom>
        <a:ln w="1905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127000</xdr:colOff>
      <xdr:row>33</xdr:row>
      <xdr:rowOff>63500</xdr:rowOff>
    </xdr:from>
    <xdr:to>
      <xdr:col>20</xdr:col>
      <xdr:colOff>1054100</xdr:colOff>
      <xdr:row>35</xdr:row>
      <xdr:rowOff>139700</xdr:rowOff>
    </xdr:to>
    <xdr:pic>
      <xdr:nvPicPr>
        <xdr:cNvPr id="59" name="Picture 58">
          <a:extLst>
            <a:ext uri="{FF2B5EF4-FFF2-40B4-BE49-F238E27FC236}">
              <a16:creationId xmlns:a16="http://schemas.microsoft.com/office/drawing/2014/main" id="{00000000-0008-0000-1B00-00003B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399000" y="6680200"/>
          <a:ext cx="927100" cy="457200"/>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177800</xdr:colOff>
      <xdr:row>48</xdr:row>
      <xdr:rowOff>50800</xdr:rowOff>
    </xdr:from>
    <xdr:to>
      <xdr:col>7</xdr:col>
      <xdr:colOff>1104900</xdr:colOff>
      <xdr:row>50</xdr:row>
      <xdr:rowOff>127000</xdr:rowOff>
    </xdr:to>
    <xdr:pic>
      <xdr:nvPicPr>
        <xdr:cNvPr id="3" name="Picture 2">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20600" y="10109200"/>
          <a:ext cx="927100" cy="457200"/>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8</xdr:col>
      <xdr:colOff>508000</xdr:colOff>
      <xdr:row>38</xdr:row>
      <xdr:rowOff>50800</xdr:rowOff>
    </xdr:from>
    <xdr:to>
      <xdr:col>9</xdr:col>
      <xdr:colOff>0</xdr:colOff>
      <xdr:row>40</xdr:row>
      <xdr:rowOff>127000</xdr:rowOff>
    </xdr:to>
    <xdr:pic>
      <xdr:nvPicPr>
        <xdr:cNvPr id="3" name="Picture 2">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033500" y="9575800"/>
          <a:ext cx="927100" cy="457200"/>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15</xdr:col>
      <xdr:colOff>977900</xdr:colOff>
      <xdr:row>420</xdr:row>
      <xdr:rowOff>165100</xdr:rowOff>
    </xdr:from>
    <xdr:to>
      <xdr:col>16</xdr:col>
      <xdr:colOff>809625</xdr:colOff>
      <xdr:row>423</xdr:row>
      <xdr:rowOff>63500</xdr:rowOff>
    </xdr:to>
    <xdr:pic>
      <xdr:nvPicPr>
        <xdr:cNvPr id="2" name="Picture 1">
          <a:extLst>
            <a:ext uri="{FF2B5EF4-FFF2-40B4-BE49-F238E27FC236}">
              <a16:creationId xmlns:a16="http://schemas.microsoft.com/office/drawing/2014/main" id="{00000000-0008-0000-1E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98300" y="44081700"/>
          <a:ext cx="1333500" cy="469900"/>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9525</xdr:colOff>
      <xdr:row>71</xdr:row>
      <xdr:rowOff>28575</xdr:rowOff>
    </xdr:from>
    <xdr:to>
      <xdr:col>1</xdr:col>
      <xdr:colOff>3781425</xdr:colOff>
      <xdr:row>72</xdr:row>
      <xdr:rowOff>114300</xdr:rowOff>
    </xdr:to>
    <xdr:sp macro="" textlink="">
      <xdr:nvSpPr>
        <xdr:cNvPr id="2" name="TextBox 1">
          <a:extLst>
            <a:ext uri="{FF2B5EF4-FFF2-40B4-BE49-F238E27FC236}">
              <a16:creationId xmlns:a16="http://schemas.microsoft.com/office/drawing/2014/main" id="{00000000-0008-0000-1F00-000002000000}"/>
            </a:ext>
          </a:extLst>
        </xdr:cNvPr>
        <xdr:cNvSpPr txBox="1"/>
      </xdr:nvSpPr>
      <xdr:spPr>
        <a:xfrm>
          <a:off x="98425" y="14392275"/>
          <a:ext cx="3771900" cy="479425"/>
        </a:xfrm>
        <a:prstGeom prst="rect">
          <a:avLst/>
        </a:prstGeom>
        <a:solidFill>
          <a:schemeClr val="accent4">
            <a:lumMod val="40000"/>
            <a:lumOff val="60000"/>
          </a:schemeClr>
        </a:solidFill>
        <a:ln w="9525" cmpd="sng">
          <a:solidFill>
            <a:schemeClr val="accent4">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NOTA: </a:t>
          </a:r>
          <a:r>
            <a:rPr lang="en-GB" sz="1100"/>
            <a:t>Os</a:t>
          </a:r>
          <a:r>
            <a:rPr lang="en-GB" sz="1100" baseline="0"/>
            <a:t> valores para esta Demonstração de Resultados devem ser carregados na folha "DETALHE GANHOS E GASTOS"</a:t>
          </a:r>
          <a:endParaRPr lang="en-GB" sz="1100"/>
        </a:p>
      </xdr:txBody>
    </xdr:sp>
    <xdr:clientData fPrintsWithSheet="0"/>
  </xdr:twoCellAnchor>
  <xdr:twoCellAnchor editAs="oneCell">
    <xdr:from>
      <xdr:col>14</xdr:col>
      <xdr:colOff>1044222</xdr:colOff>
      <xdr:row>66</xdr:row>
      <xdr:rowOff>70556</xdr:rowOff>
    </xdr:from>
    <xdr:to>
      <xdr:col>15</xdr:col>
      <xdr:colOff>864305</xdr:colOff>
      <xdr:row>68</xdr:row>
      <xdr:rowOff>145345</xdr:rowOff>
    </xdr:to>
    <xdr:pic>
      <xdr:nvPicPr>
        <xdr:cNvPr id="3" name="Picture 2">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55022" y="13405556"/>
          <a:ext cx="1325034" cy="455789"/>
        </a:xfrm>
        <a:prstGeom prst="rect">
          <a:avLst/>
        </a:prstGeom>
        <a:noFill/>
        <a:ln>
          <a:noFill/>
        </a:ln>
      </xdr:spPr>
    </xdr:pic>
    <xdr:clientData/>
  </xdr:twoCellAnchor>
  <xdr:twoCellAnchor editAs="oneCell">
    <xdr:from>
      <xdr:col>15</xdr:col>
      <xdr:colOff>1</xdr:colOff>
      <xdr:row>88</xdr:row>
      <xdr:rowOff>84666</xdr:rowOff>
    </xdr:from>
    <xdr:to>
      <xdr:col>15</xdr:col>
      <xdr:colOff>812448</xdr:colOff>
      <xdr:row>90</xdr:row>
      <xdr:rowOff>84666</xdr:rowOff>
    </xdr:to>
    <xdr:pic>
      <xdr:nvPicPr>
        <xdr:cNvPr id="4" name="Picture 3">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645901" y="17890066"/>
          <a:ext cx="917222" cy="381000"/>
        </a:xfrm>
        <a:prstGeom prst="rect">
          <a:avLst/>
        </a:prstGeom>
        <a:noFill/>
        <a:ln>
          <a:noFill/>
        </a:ln>
      </xdr:spPr>
    </xdr:pic>
    <xdr:clientData/>
  </xdr:twoCellAnchor>
  <xdr:twoCellAnchor editAs="oneCell">
    <xdr:from>
      <xdr:col>14</xdr:col>
      <xdr:colOff>1382888</xdr:colOff>
      <xdr:row>109</xdr:row>
      <xdr:rowOff>70556</xdr:rowOff>
    </xdr:from>
    <xdr:to>
      <xdr:col>15</xdr:col>
      <xdr:colOff>804331</xdr:colOff>
      <xdr:row>111</xdr:row>
      <xdr:rowOff>131233</xdr:rowOff>
    </xdr:to>
    <xdr:pic>
      <xdr:nvPicPr>
        <xdr:cNvPr id="5" name="Picture 4">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593688" y="21952656"/>
          <a:ext cx="983544" cy="441677"/>
        </a:xfrm>
        <a:prstGeom prst="rect">
          <a:avLst/>
        </a:prstGeom>
        <a:noFill/>
        <a:ln>
          <a:noFill/>
        </a:ln>
      </xdr:spPr>
    </xdr:pic>
    <xdr:clientData/>
  </xdr:twoCellAnchor>
  <xdr:twoCellAnchor editAs="oneCell">
    <xdr:from>
      <xdr:col>14</xdr:col>
      <xdr:colOff>1298220</xdr:colOff>
      <xdr:row>149</xdr:row>
      <xdr:rowOff>28221</xdr:rowOff>
    </xdr:from>
    <xdr:to>
      <xdr:col>15</xdr:col>
      <xdr:colOff>800803</xdr:colOff>
      <xdr:row>151</xdr:row>
      <xdr:rowOff>84666</xdr:rowOff>
    </xdr:to>
    <xdr:pic>
      <xdr:nvPicPr>
        <xdr:cNvPr id="6" name="Picture 5">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509020" y="30038321"/>
          <a:ext cx="1032934" cy="437445"/>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95250</xdr:colOff>
      <xdr:row>9</xdr:row>
      <xdr:rowOff>76200</xdr:rowOff>
    </xdr:from>
    <xdr:to>
      <xdr:col>4</xdr:col>
      <xdr:colOff>76200</xdr:colOff>
      <xdr:row>25</xdr:row>
      <xdr:rowOff>180975</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133350</xdr:colOff>
      <xdr:row>9</xdr:row>
      <xdr:rowOff>76200</xdr:rowOff>
    </xdr:from>
    <xdr:to>
      <xdr:col>8</xdr:col>
      <xdr:colOff>714375</xdr:colOff>
      <xdr:row>25</xdr:row>
      <xdr:rowOff>180975</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95250</xdr:colOff>
      <xdr:row>26</xdr:row>
      <xdr:rowOff>66675</xdr:rowOff>
    </xdr:from>
    <xdr:to>
      <xdr:col>4</xdr:col>
      <xdr:colOff>76200</xdr:colOff>
      <xdr:row>44</xdr:row>
      <xdr:rowOff>76200</xdr:rowOff>
    </xdr:to>
    <xdr:graphicFrame macro="">
      <xdr:nvGraphicFramePr>
        <xdr:cNvPr id="4" name="Chart 3">
          <a:extLst>
            <a:ext uri="{FF2B5EF4-FFF2-40B4-BE49-F238E27FC236}">
              <a16:creationId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133350</xdr:colOff>
      <xdr:row>26</xdr:row>
      <xdr:rowOff>66675</xdr:rowOff>
    </xdr:from>
    <xdr:to>
      <xdr:col>8</xdr:col>
      <xdr:colOff>714375</xdr:colOff>
      <xdr:row>44</xdr:row>
      <xdr:rowOff>76200</xdr:rowOff>
    </xdr:to>
    <xdr:graphicFrame macro="">
      <xdr:nvGraphicFramePr>
        <xdr:cNvPr id="5" name="Chart 4">
          <a:extLst>
            <a:ext uri="{FF2B5EF4-FFF2-40B4-BE49-F238E27FC236}">
              <a16:creationId xmlns:a16="http://schemas.microsoft.com/office/drawing/2014/main" id="{00000000-0008-0000-2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44</xdr:row>
      <xdr:rowOff>133350</xdr:rowOff>
    </xdr:from>
    <xdr:to>
      <xdr:col>4</xdr:col>
      <xdr:colOff>76200</xdr:colOff>
      <xdr:row>62</xdr:row>
      <xdr:rowOff>142875</xdr:rowOff>
    </xdr:to>
    <xdr:graphicFrame macro="">
      <xdr:nvGraphicFramePr>
        <xdr:cNvPr id="6" name="Chart 5">
          <a:extLst>
            <a:ext uri="{FF2B5EF4-FFF2-40B4-BE49-F238E27FC236}">
              <a16:creationId xmlns:a16="http://schemas.microsoft.com/office/drawing/2014/main" id="{00000000-0008-0000-2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133350</xdr:colOff>
      <xdr:row>44</xdr:row>
      <xdr:rowOff>133350</xdr:rowOff>
    </xdr:from>
    <xdr:to>
      <xdr:col>8</xdr:col>
      <xdr:colOff>714375</xdr:colOff>
      <xdr:row>62</xdr:row>
      <xdr:rowOff>142875</xdr:rowOff>
    </xdr:to>
    <xdr:graphicFrame macro="">
      <xdr:nvGraphicFramePr>
        <xdr:cNvPr id="7" name="Chart 6">
          <a:extLst>
            <a:ext uri="{FF2B5EF4-FFF2-40B4-BE49-F238E27FC236}">
              <a16:creationId xmlns:a16="http://schemas.microsoft.com/office/drawing/2014/main" id="{00000000-0008-0000-2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95250</xdr:colOff>
      <xdr:row>63</xdr:row>
      <xdr:rowOff>9525</xdr:rowOff>
    </xdr:from>
    <xdr:to>
      <xdr:col>4</xdr:col>
      <xdr:colOff>76200</xdr:colOff>
      <xdr:row>81</xdr:row>
      <xdr:rowOff>19050</xdr:rowOff>
    </xdr:to>
    <xdr:graphicFrame macro="">
      <xdr:nvGraphicFramePr>
        <xdr:cNvPr id="8" name="Chart 7">
          <a:extLst>
            <a:ext uri="{FF2B5EF4-FFF2-40B4-BE49-F238E27FC236}">
              <a16:creationId xmlns:a16="http://schemas.microsoft.com/office/drawing/2014/main" id="{00000000-0008-0000-2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133350</xdr:colOff>
      <xdr:row>63</xdr:row>
      <xdr:rowOff>9525</xdr:rowOff>
    </xdr:from>
    <xdr:to>
      <xdr:col>8</xdr:col>
      <xdr:colOff>714375</xdr:colOff>
      <xdr:row>81</xdr:row>
      <xdr:rowOff>19050</xdr:rowOff>
    </xdr:to>
    <xdr:graphicFrame macro="">
      <xdr:nvGraphicFramePr>
        <xdr:cNvPr id="9" name="Chart 8">
          <a:extLst>
            <a:ext uri="{FF2B5EF4-FFF2-40B4-BE49-F238E27FC236}">
              <a16:creationId xmlns:a16="http://schemas.microsoft.com/office/drawing/2014/main" id="{00000000-0008-0000-2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7</xdr:col>
      <xdr:colOff>1384300</xdr:colOff>
      <xdr:row>82</xdr:row>
      <xdr:rowOff>38100</xdr:rowOff>
    </xdr:from>
    <xdr:to>
      <xdr:col>8</xdr:col>
      <xdr:colOff>889000</xdr:colOff>
      <xdr:row>84</xdr:row>
      <xdr:rowOff>88900</xdr:rowOff>
    </xdr:to>
    <xdr:pic>
      <xdr:nvPicPr>
        <xdr:cNvPr id="10" name="Picture 9">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2204700" y="16268700"/>
          <a:ext cx="939800" cy="431800"/>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xdr:from>
      <xdr:col>4</xdr:col>
      <xdr:colOff>520700</xdr:colOff>
      <xdr:row>13</xdr:row>
      <xdr:rowOff>6350</xdr:rowOff>
    </xdr:from>
    <xdr:to>
      <xdr:col>14</xdr:col>
      <xdr:colOff>698500</xdr:colOff>
      <xdr:row>27</xdr:row>
      <xdr:rowOff>82550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2</xdr:col>
      <xdr:colOff>9525</xdr:colOff>
      <xdr:row>11</xdr:row>
      <xdr:rowOff>104774</xdr:rowOff>
    </xdr:from>
    <xdr:to>
      <xdr:col>7</xdr:col>
      <xdr:colOff>666750</xdr:colOff>
      <xdr:row>39</xdr:row>
      <xdr:rowOff>66675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1320800</xdr:colOff>
      <xdr:row>41</xdr:row>
      <xdr:rowOff>0</xdr:rowOff>
    </xdr:from>
    <xdr:to>
      <xdr:col>9</xdr:col>
      <xdr:colOff>0</xdr:colOff>
      <xdr:row>43</xdr:row>
      <xdr:rowOff>88900</xdr:rowOff>
    </xdr:to>
    <xdr:pic>
      <xdr:nvPicPr>
        <xdr:cNvPr id="3" name="Picture 2">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41200" y="8420100"/>
          <a:ext cx="1041400" cy="469900"/>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xdr:from>
      <xdr:col>0</xdr:col>
      <xdr:colOff>76199</xdr:colOff>
      <xdr:row>32</xdr:row>
      <xdr:rowOff>0</xdr:rowOff>
    </xdr:from>
    <xdr:to>
      <xdr:col>8</xdr:col>
      <xdr:colOff>723899</xdr:colOff>
      <xdr:row>65</xdr:row>
      <xdr:rowOff>19050</xdr:rowOff>
    </xdr:to>
    <xdr:graphicFrame macro="">
      <xdr:nvGraphicFramePr>
        <xdr:cNvPr id="2" name="Chart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12700</xdr:colOff>
      <xdr:row>67</xdr:row>
      <xdr:rowOff>63500</xdr:rowOff>
    </xdr:from>
    <xdr:to>
      <xdr:col>9</xdr:col>
      <xdr:colOff>12700</xdr:colOff>
      <xdr:row>69</xdr:row>
      <xdr:rowOff>76200</xdr:rowOff>
    </xdr:to>
    <xdr:pic>
      <xdr:nvPicPr>
        <xdr:cNvPr id="3" name="Picture 2">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6200" y="13411200"/>
          <a:ext cx="927100" cy="393700"/>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50800</xdr:colOff>
      <xdr:row>51</xdr:row>
      <xdr:rowOff>25400</xdr:rowOff>
    </xdr:from>
    <xdr:to>
      <xdr:col>13</xdr:col>
      <xdr:colOff>0</xdr:colOff>
      <xdr:row>160</xdr:row>
      <xdr:rowOff>25400</xdr:rowOff>
    </xdr:to>
    <xdr:pic>
      <xdr:nvPicPr>
        <xdr:cNvPr id="3" name="Picture 2">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4500" y="7785100"/>
          <a:ext cx="787400" cy="381000"/>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xdr:from>
      <xdr:col>2</xdr:col>
      <xdr:colOff>381000</xdr:colOff>
      <xdr:row>70</xdr:row>
      <xdr:rowOff>38100</xdr:rowOff>
    </xdr:from>
    <xdr:to>
      <xdr:col>5</xdr:col>
      <xdr:colOff>371475</xdr:colOff>
      <xdr:row>72</xdr:row>
      <xdr:rowOff>114300</xdr:rowOff>
    </xdr:to>
    <xdr:sp macro="[0]!ProtectAll" textlink="">
      <xdr:nvSpPr>
        <xdr:cNvPr id="2" name="Rounded Rectangle 1">
          <a:extLst>
            <a:ext uri="{FF2B5EF4-FFF2-40B4-BE49-F238E27FC236}">
              <a16:creationId xmlns:a16="http://schemas.microsoft.com/office/drawing/2014/main" id="{00000000-0008-0000-2500-000002000000}"/>
            </a:ext>
          </a:extLst>
        </xdr:cNvPr>
        <xdr:cNvSpPr/>
      </xdr:nvSpPr>
      <xdr:spPr>
        <a:xfrm>
          <a:off x="1600200" y="13373100"/>
          <a:ext cx="1819275" cy="457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PROTECT ALL</a:t>
          </a:r>
        </a:p>
      </xdr:txBody>
    </xdr:sp>
    <xdr:clientData/>
  </xdr:twoCellAnchor>
  <xdr:twoCellAnchor>
    <xdr:from>
      <xdr:col>2</xdr:col>
      <xdr:colOff>409575</xdr:colOff>
      <xdr:row>73</xdr:row>
      <xdr:rowOff>95250</xdr:rowOff>
    </xdr:from>
    <xdr:to>
      <xdr:col>5</xdr:col>
      <xdr:colOff>400050</xdr:colOff>
      <xdr:row>75</xdr:row>
      <xdr:rowOff>171450</xdr:rowOff>
    </xdr:to>
    <xdr:sp macro="[0]!UnProtectAll" textlink="">
      <xdr:nvSpPr>
        <xdr:cNvPr id="4" name="Rounded Rectangle 3">
          <a:extLst>
            <a:ext uri="{FF2B5EF4-FFF2-40B4-BE49-F238E27FC236}">
              <a16:creationId xmlns:a16="http://schemas.microsoft.com/office/drawing/2014/main" id="{00000000-0008-0000-2500-000004000000}"/>
            </a:ext>
          </a:extLst>
        </xdr:cNvPr>
        <xdr:cNvSpPr/>
      </xdr:nvSpPr>
      <xdr:spPr>
        <a:xfrm>
          <a:off x="1628775" y="14001750"/>
          <a:ext cx="1819275" cy="4572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400" b="1"/>
            <a:t>UNPROTECT ALL</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o Sousa" id="{534E0063-C14F-FD47-BFFB-17866ED56872}" userId="dcc9f334308cf845"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2" dT="2021-11-02T07:15:15.45" personId="{534E0063-C14F-FD47-BFFB-17866ED56872}" id="{834B2A26-3A14-D741-95D0-9EDCE7772721}">
    <text>AGUA E ELETRICIDADE SEM MOVIMENTOS??? CERTEZA ISTO???</text>
  </threadedComment>
  <threadedComment ref="C51" dT="2021-11-02T07:15:50.40" personId="{534E0063-C14F-FD47-BFFB-17866ED56872}" id="{1146EE56-AB29-DB48-8C04-D3BDCBFF624D}">
    <text>PORQUE CERTOS MESES SEM MOVIMENTOS????</text>
  </threadedComment>
  <threadedComment ref="C115" dT="2021-11-02T07:04:12.99" personId="{534E0063-C14F-FD47-BFFB-17866ED56872}" id="{6F964DCE-99FB-D146-B525-47C68DFE09B3}">
    <text>MESES EM BRANCO?</text>
  </threadedComment>
</ThreadedComments>
</file>

<file path=xl/threadedComments/threadedComment2.xml><?xml version="1.0" encoding="utf-8"?>
<ThreadedComments xmlns="http://schemas.microsoft.com/office/spreadsheetml/2018/threadedcomments" xmlns:x="http://schemas.openxmlformats.org/spreadsheetml/2006/main">
  <threadedComment ref="D66" dT="2021-11-02T07:14:15.80" personId="{534E0063-C14F-FD47-BFFB-17866ED56872}" id="{6B838809-7BFA-AA44-A57E-0E16FBCD7643}">
    <text>MONICA. BALANCO TEM QUE SALDAR FILHA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9"/>
  <sheetViews>
    <sheetView showGridLines="0" workbookViewId="0">
      <selection activeCell="F25" sqref="F25"/>
    </sheetView>
  </sheetViews>
  <sheetFormatPr defaultColWidth="0" defaultRowHeight="15" zeroHeight="1" x14ac:dyDescent="0.25"/>
  <cols>
    <col min="1" max="1" width="1.140625" style="3" customWidth="1"/>
    <col min="2" max="10" width="9.140625" style="3" customWidth="1"/>
    <col min="11" max="11" width="12.42578125" style="3" customWidth="1"/>
    <col min="12" max="12" width="1.140625" style="3" customWidth="1"/>
    <col min="13" max="16384" width="9.140625" style="3" hidden="1"/>
  </cols>
  <sheetData>
    <row r="1" spans="2:11" ht="37.5" customHeight="1" x14ac:dyDescent="0.35">
      <c r="B1" s="392" t="s">
        <v>721</v>
      </c>
      <c r="C1" s="392"/>
      <c r="D1" s="392"/>
      <c r="E1" s="392"/>
      <c r="F1" s="392"/>
      <c r="G1" s="392"/>
      <c r="H1" s="392"/>
      <c r="I1" s="392"/>
      <c r="J1" s="392"/>
      <c r="K1" s="392"/>
    </row>
    <row r="2" spans="2:11" ht="36.75" customHeight="1" x14ac:dyDescent="0.25">
      <c r="B2" s="393" t="s">
        <v>718</v>
      </c>
      <c r="C2" s="393"/>
      <c r="D2" s="393"/>
      <c r="E2" s="393"/>
      <c r="F2" s="393"/>
      <c r="G2" s="393"/>
      <c r="H2" s="393"/>
      <c r="I2" s="393"/>
      <c r="J2" s="393"/>
      <c r="K2" s="393"/>
    </row>
    <row r="3" spans="2:11" x14ac:dyDescent="0.2"/>
    <row r="4" spans="2:11" x14ac:dyDescent="0.2"/>
    <row r="5" spans="2:11" x14ac:dyDescent="0.2"/>
    <row r="6" spans="2:11" ht="24" customHeight="1" x14ac:dyDescent="0.25">
      <c r="B6" s="396" t="s">
        <v>37</v>
      </c>
      <c r="C6" s="397"/>
      <c r="D6" s="398"/>
      <c r="E6" s="394">
        <v>2021</v>
      </c>
      <c r="F6" s="395"/>
      <c r="J6" s="6" t="s">
        <v>433</v>
      </c>
      <c r="K6" s="356" t="s">
        <v>722</v>
      </c>
    </row>
    <row r="7" spans="2:11" x14ac:dyDescent="0.25"/>
    <row r="8" spans="2:11" ht="24" customHeight="1" x14ac:dyDescent="0.25">
      <c r="B8" s="396" t="s">
        <v>486</v>
      </c>
      <c r="C8" s="397"/>
      <c r="D8" s="397"/>
      <c r="E8" s="399" t="s">
        <v>721</v>
      </c>
      <c r="F8" s="400"/>
      <c r="G8" s="400"/>
      <c r="H8" s="400"/>
      <c r="I8" s="400"/>
      <c r="J8" s="401"/>
      <c r="K8" s="402"/>
    </row>
    <row r="9" spans="2:11" x14ac:dyDescent="0.25"/>
    <row r="10" spans="2:11" x14ac:dyDescent="0.2">
      <c r="B10" s="185" t="s">
        <v>703</v>
      </c>
    </row>
    <row r="11" spans="2:11" x14ac:dyDescent="0.25">
      <c r="B11" s="383"/>
      <c r="C11" s="384"/>
      <c r="D11" s="384"/>
      <c r="E11" s="384"/>
      <c r="F11" s="384"/>
      <c r="G11" s="384"/>
      <c r="H11" s="384"/>
      <c r="I11" s="384"/>
      <c r="J11" s="384"/>
      <c r="K11" s="385"/>
    </row>
    <row r="12" spans="2:11" x14ac:dyDescent="0.25">
      <c r="B12" s="386"/>
      <c r="C12" s="387"/>
      <c r="D12" s="387"/>
      <c r="E12" s="387"/>
      <c r="F12" s="387"/>
      <c r="G12" s="387"/>
      <c r="H12" s="387"/>
      <c r="I12" s="387"/>
      <c r="J12" s="387"/>
      <c r="K12" s="388"/>
    </row>
    <row r="13" spans="2:11" x14ac:dyDescent="0.25">
      <c r="B13" s="386"/>
      <c r="C13" s="387"/>
      <c r="D13" s="387"/>
      <c r="E13" s="387"/>
      <c r="F13" s="387"/>
      <c r="G13" s="387"/>
      <c r="H13" s="387"/>
      <c r="I13" s="387"/>
      <c r="J13" s="387"/>
      <c r="K13" s="388"/>
    </row>
    <row r="14" spans="2:11" x14ac:dyDescent="0.25">
      <c r="B14" s="386"/>
      <c r="C14" s="387"/>
      <c r="D14" s="387"/>
      <c r="E14" s="387"/>
      <c r="F14" s="387"/>
      <c r="G14" s="387"/>
      <c r="H14" s="387"/>
      <c r="I14" s="387"/>
      <c r="J14" s="387"/>
      <c r="K14" s="388"/>
    </row>
    <row r="15" spans="2:11" x14ac:dyDescent="0.25">
      <c r="B15" s="386"/>
      <c r="C15" s="387"/>
      <c r="D15" s="387"/>
      <c r="E15" s="387"/>
      <c r="F15" s="387"/>
      <c r="G15" s="387"/>
      <c r="H15" s="387"/>
      <c r="I15" s="387"/>
      <c r="J15" s="387"/>
      <c r="K15" s="388"/>
    </row>
    <row r="16" spans="2:11" x14ac:dyDescent="0.25">
      <c r="B16" s="386"/>
      <c r="C16" s="387"/>
      <c r="D16" s="387"/>
      <c r="E16" s="387"/>
      <c r="F16" s="387"/>
      <c r="G16" s="387"/>
      <c r="H16" s="387"/>
      <c r="I16" s="387"/>
      <c r="J16" s="387"/>
      <c r="K16" s="388"/>
    </row>
    <row r="17" spans="2:11" x14ac:dyDescent="0.25">
      <c r="B17" s="386"/>
      <c r="C17" s="387"/>
      <c r="D17" s="387"/>
      <c r="E17" s="387"/>
      <c r="F17" s="387"/>
      <c r="G17" s="387"/>
      <c r="H17" s="387"/>
      <c r="I17" s="387"/>
      <c r="J17" s="387"/>
      <c r="K17" s="388"/>
    </row>
    <row r="18" spans="2:11" x14ac:dyDescent="0.25">
      <c r="B18" s="386"/>
      <c r="C18" s="387"/>
      <c r="D18" s="387"/>
      <c r="E18" s="387"/>
      <c r="F18" s="387"/>
      <c r="G18" s="387"/>
      <c r="H18" s="387"/>
      <c r="I18" s="387"/>
      <c r="J18" s="387"/>
      <c r="K18" s="388"/>
    </row>
    <row r="19" spans="2:11" x14ac:dyDescent="0.25">
      <c r="B19" s="386"/>
      <c r="C19" s="387"/>
      <c r="D19" s="387"/>
      <c r="E19" s="387"/>
      <c r="F19" s="387"/>
      <c r="G19" s="387"/>
      <c r="H19" s="387"/>
      <c r="I19" s="387"/>
      <c r="J19" s="387"/>
      <c r="K19" s="388"/>
    </row>
    <row r="20" spans="2:11" x14ac:dyDescent="0.25">
      <c r="B20" s="386"/>
      <c r="C20" s="387"/>
      <c r="D20" s="387"/>
      <c r="E20" s="387"/>
      <c r="F20" s="387"/>
      <c r="G20" s="387"/>
      <c r="H20" s="387"/>
      <c r="I20" s="387"/>
      <c r="J20" s="387"/>
      <c r="K20" s="388"/>
    </row>
    <row r="21" spans="2:11" x14ac:dyDescent="0.25">
      <c r="B21" s="389"/>
      <c r="C21" s="390"/>
      <c r="D21" s="390"/>
      <c r="E21" s="390"/>
      <c r="F21" s="390"/>
      <c r="G21" s="390"/>
      <c r="H21" s="390"/>
      <c r="I21" s="390"/>
      <c r="J21" s="390"/>
      <c r="K21" s="391"/>
    </row>
    <row r="22" spans="2:11" x14ac:dyDescent="0.25"/>
    <row r="23" spans="2:11" x14ac:dyDescent="0.25"/>
    <row r="24" spans="2:11" x14ac:dyDescent="0.25"/>
    <row r="25" spans="2:11" x14ac:dyDescent="0.25"/>
    <row r="26" spans="2:11" x14ac:dyDescent="0.25"/>
    <row r="27" spans="2:11" x14ac:dyDescent="0.25"/>
    <row r="28" spans="2:11" x14ac:dyDescent="0.25"/>
    <row r="29" spans="2:11" x14ac:dyDescent="0.25"/>
  </sheetData>
  <sheetProtection algorithmName="SHA-512" hashValue="aQlpr6NVEpRE4+IUTa+0L/db/6ilxEL3Pmj03hdyTsioQY1XX1sQqWXy6aXPOC/P/NzLxiCul5E+qPheSdzyng==" saltValue="5tWFK4XUnKTMCwayXNZiwQ==" spinCount="100000" sheet="1" sort="0" autoFilter="0"/>
  <mergeCells count="7">
    <mergeCell ref="B11:K21"/>
    <mergeCell ref="B1:K1"/>
    <mergeCell ref="B2:K2"/>
    <mergeCell ref="E6:F6"/>
    <mergeCell ref="B6:D6"/>
    <mergeCell ref="B8:D8"/>
    <mergeCell ref="E8:K8"/>
  </mergeCells>
  <pageMargins left="0.7" right="0.7" top="0.75" bottom="0.75" header="0.3" footer="0.3"/>
  <pageSetup orientation="portrait" r:id="rId1"/>
  <headerFooter>
    <oddFooter>&amp;R&amp;"Calibri,Regular"&amp;K000000RS_IGEPE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31"/>
  <sheetViews>
    <sheetView showGridLines="0" workbookViewId="0">
      <pane ySplit="1" topLeftCell="A2" activePane="bottomLeft" state="frozen"/>
      <selection pane="bottomLeft" activeCell="B31" sqref="B31"/>
    </sheetView>
  </sheetViews>
  <sheetFormatPr defaultColWidth="0" defaultRowHeight="15" zeroHeight="1" x14ac:dyDescent="0.25"/>
  <cols>
    <col min="1" max="1" width="3.140625" style="1" customWidth="1"/>
    <col min="2" max="2" width="56.28515625" style="345" customWidth="1"/>
    <col min="3" max="3" width="5.42578125" style="1" customWidth="1"/>
    <col min="4" max="4" width="56.28515625" style="345" customWidth="1"/>
    <col min="5" max="5" width="3.140625" style="1" customWidth="1"/>
    <col min="6" max="10" width="0" style="1" hidden="1" customWidth="1"/>
    <col min="11" max="16384" width="9.140625" style="1" hidden="1"/>
  </cols>
  <sheetData>
    <row r="1" spans="2:4" ht="20.25" customHeight="1" x14ac:dyDescent="0.2">
      <c r="B1" s="167" t="s">
        <v>717</v>
      </c>
    </row>
    <row r="2" spans="2:4" ht="45" customHeight="1" x14ac:dyDescent="0.25">
      <c r="B2" s="403" t="s">
        <v>716</v>
      </c>
      <c r="C2" s="403"/>
      <c r="D2" s="403"/>
    </row>
    <row r="3" spans="2:4" x14ac:dyDescent="0.2"/>
    <row r="4" spans="2:4" x14ac:dyDescent="0.2"/>
    <row r="5" spans="2:4" ht="19.5" customHeight="1" x14ac:dyDescent="0.25">
      <c r="B5" s="344" t="s">
        <v>710</v>
      </c>
      <c r="D5" s="344" t="s">
        <v>711</v>
      </c>
    </row>
    <row r="6" spans="2:4" ht="19.5" customHeight="1" x14ac:dyDescent="0.25">
      <c r="B6" s="346" t="s">
        <v>1</v>
      </c>
      <c r="D6" s="346" t="s">
        <v>434</v>
      </c>
    </row>
    <row r="7" spans="2:4" ht="19.5" customHeight="1" x14ac:dyDescent="0.25">
      <c r="B7" s="346" t="s">
        <v>6</v>
      </c>
      <c r="D7" s="346" t="s">
        <v>8</v>
      </c>
    </row>
    <row r="8" spans="2:4" ht="19.5" customHeight="1" x14ac:dyDescent="0.25">
      <c r="B8" s="346" t="s">
        <v>0</v>
      </c>
      <c r="D8" s="346" t="s">
        <v>435</v>
      </c>
    </row>
    <row r="9" spans="2:4" ht="19.5" customHeight="1" x14ac:dyDescent="0.25">
      <c r="B9" s="346" t="s">
        <v>7</v>
      </c>
      <c r="D9" s="346" t="s">
        <v>459</v>
      </c>
    </row>
    <row r="10" spans="2:4" ht="19.5" customHeight="1" x14ac:dyDescent="0.25">
      <c r="B10" s="346" t="s">
        <v>50</v>
      </c>
      <c r="D10" s="346" t="s">
        <v>437</v>
      </c>
    </row>
    <row r="11" spans="2:4" ht="19.5" customHeight="1" x14ac:dyDescent="0.25">
      <c r="B11" s="346" t="s">
        <v>49</v>
      </c>
      <c r="D11" s="346" t="s">
        <v>484</v>
      </c>
    </row>
    <row r="12" spans="2:4" ht="19.5" customHeight="1" x14ac:dyDescent="0.25">
      <c r="B12" s="1"/>
      <c r="D12" s="346" t="s">
        <v>485</v>
      </c>
    </row>
    <row r="13" spans="2:4" ht="19.5" customHeight="1" x14ac:dyDescent="0.25">
      <c r="B13" s="344" t="s">
        <v>714</v>
      </c>
      <c r="D13" s="346" t="s">
        <v>671</v>
      </c>
    </row>
    <row r="14" spans="2:4" ht="19.5" customHeight="1" x14ac:dyDescent="0.25">
      <c r="B14" s="346" t="s">
        <v>511</v>
      </c>
      <c r="D14" s="346" t="s">
        <v>676</v>
      </c>
    </row>
    <row r="15" spans="2:4" ht="19.5" customHeight="1" x14ac:dyDescent="0.25">
      <c r="B15" s="346" t="s">
        <v>504</v>
      </c>
      <c r="D15" s="346" t="s">
        <v>686</v>
      </c>
    </row>
    <row r="16" spans="2:4" ht="19.5" customHeight="1" x14ac:dyDescent="0.25">
      <c r="B16" s="346" t="s">
        <v>506</v>
      </c>
      <c r="D16" s="346" t="s">
        <v>487</v>
      </c>
    </row>
    <row r="17" spans="2:4" ht="19.5" customHeight="1" x14ac:dyDescent="0.25">
      <c r="B17" s="346" t="s">
        <v>514</v>
      </c>
    </row>
    <row r="18" spans="2:4" ht="19.5" customHeight="1" x14ac:dyDescent="0.25">
      <c r="B18" s="1"/>
      <c r="D18" s="1"/>
    </row>
    <row r="19" spans="2:4" ht="19.5" customHeight="1" x14ac:dyDescent="0.25">
      <c r="B19" s="344" t="s">
        <v>524</v>
      </c>
      <c r="D19" s="344" t="s">
        <v>715</v>
      </c>
    </row>
    <row r="20" spans="2:4" ht="19.5" customHeight="1" x14ac:dyDescent="0.25">
      <c r="B20" s="346" t="s">
        <v>524</v>
      </c>
      <c r="D20" s="346" t="s">
        <v>687</v>
      </c>
    </row>
    <row r="21" spans="2:4" ht="19.5" customHeight="1" x14ac:dyDescent="0.25">
      <c r="D21" s="346" t="s">
        <v>575</v>
      </c>
    </row>
    <row r="22" spans="2:4" ht="19.5" customHeight="1" x14ac:dyDescent="0.25">
      <c r="B22" s="344" t="s">
        <v>712</v>
      </c>
      <c r="D22" s="346" t="s">
        <v>659</v>
      </c>
    </row>
    <row r="23" spans="2:4" ht="19.5" customHeight="1" x14ac:dyDescent="0.25">
      <c r="B23" s="346" t="s">
        <v>529</v>
      </c>
      <c r="D23" s="1"/>
    </row>
    <row r="24" spans="2:4" ht="19.5" customHeight="1" x14ac:dyDescent="0.25">
      <c r="B24" s="346" t="s">
        <v>569</v>
      </c>
      <c r="D24" s="344" t="s">
        <v>713</v>
      </c>
    </row>
    <row r="25" spans="2:4" ht="19.5" customHeight="1" x14ac:dyDescent="0.25">
      <c r="B25" s="346" t="s">
        <v>574</v>
      </c>
      <c r="D25" s="346" t="s">
        <v>530</v>
      </c>
    </row>
    <row r="26" spans="2:4" ht="19.5" customHeight="1" x14ac:dyDescent="0.25">
      <c r="B26" s="1"/>
      <c r="D26" s="1"/>
    </row>
    <row r="27" spans="2:4" x14ac:dyDescent="0.25">
      <c r="D27" s="1"/>
    </row>
    <row r="28" spans="2:4" x14ac:dyDescent="0.25"/>
    <row r="29" spans="2:4" x14ac:dyDescent="0.25"/>
    <row r="30" spans="2:4" x14ac:dyDescent="0.25"/>
    <row r="31" spans="2:4" x14ac:dyDescent="0.25"/>
  </sheetData>
  <sheetProtection algorithmName="SHA-512" hashValue="QUKC7Dgws/VNG70xNAk13K/uRcfMfobhjW1inQthbl48C/qyadiQ6OFk/NYLg5AnpY8pMth2wqWA7M1dIbnKiw==" saltValue="eIHO3qjFLKRjgTL3VURG8w==" spinCount="100000" sheet="1" sort="0" autoFilter="0"/>
  <mergeCells count="1">
    <mergeCell ref="B2:D2"/>
  </mergeCells>
  <hyperlinks>
    <hyperlink ref="B6" location="IDENTIFICAÇÃO!A1" display="IDENTIFICAÇÃO DA EMPRESA" xr:uid="{00000000-0004-0000-0100-000000000000}"/>
    <hyperlink ref="B7" location="'MISSÃO-VISÃO-VALORES'!A1" display="MISSÃO, VALORES, OBJECTIVOS" xr:uid="{00000000-0004-0000-0100-000001000000}"/>
    <hyperlink ref="B8" location="'ESTRUTURA SOCIETÁRIA'!A1" display="ESTRUTURA SOCIETÁRIA" xr:uid="{00000000-0004-0000-0100-000002000000}"/>
    <hyperlink ref="B9" location="'ÓRGÃOS SOCIAIS'!A1" display="MODELO DE GOVERNO / MEMBROS DOS ÓRGÃOS SOCIAIS" xr:uid="{00000000-0004-0000-0100-000003000000}"/>
    <hyperlink ref="B10" location="ORGANIGRAMA!A1" display="ORGANIGRAMA" xr:uid="{00000000-0004-0000-0100-000004000000}"/>
    <hyperlink ref="B11" location="'INFORMAÇÃO ESTATÍSTICA'!A1" display="INFORMAÇÃO ESTATÍSTICA E QUALITATIVA" xr:uid="{00000000-0004-0000-0100-000005000000}"/>
    <hyperlink ref="B14" location="'INFO REL. GESTÃO'!A1" display="INFORMAÇÃO EXTRAÍDA DO RELATÓRIO DE GESTÃO" xr:uid="{00000000-0004-0000-0100-000006000000}"/>
    <hyperlink ref="B15" location="'ASSEMBLEIAS GERAIS'!A1" display="ASSEMBLEIAS GERAIS" xr:uid="{00000000-0004-0000-0100-000007000000}"/>
    <hyperlink ref="B16" location="'RELAT. AUDITOR INDEPENDENTE'!A1" display="RELATÓRIO DO AUDITOR INDEPENDENTE" xr:uid="{00000000-0004-0000-0100-000008000000}"/>
    <hyperlink ref="B17" location="'RELAT. CONSELHO FISCAL'!A1" display="RELATÓRIO DO CONSELHO FISCAL" xr:uid="{00000000-0004-0000-0100-000009000000}"/>
    <hyperlink ref="B20" location="'PLANO ESTRATÉGICO'!A1" display="PLANO ESTRATÉGICO" xr:uid="{00000000-0004-0000-0100-00000A000000}"/>
    <hyperlink ref="B23" location="'PLANO ORÇAMENTAL'!A1" display="PLANO ORÇAMENTAL" xr:uid="{00000000-0004-0000-0100-00000B000000}"/>
    <hyperlink ref="B24" location="'MAIORES VAR. ORÇAM.'!A1" display="PRINCIPAIS VARIAÇÕES PARA O ORÇAMENTO ANO SEGUINTE" xr:uid="{00000000-0004-0000-0100-00000C000000}"/>
    <hyperlink ref="B25" location="'ORÇAMENTO DE INVESTIMENTOS'!A1" display="ORÇAMENTO DE INVESTIMENTOS" xr:uid="{00000000-0004-0000-0100-00000D000000}"/>
    <hyperlink ref="D20" location="'ANÁLISE DUPONT'!A1" display="ANÁLISE DUPONT" xr:uid="{00000000-0004-0000-0100-00000E000000}"/>
    <hyperlink ref="D21" location="RÁCIOS!A1" display="RÁCIOS E INDICADORES ECONÓMICO-FINANCEIROS" xr:uid="{00000000-0004-0000-0100-00000F000000}"/>
    <hyperlink ref="D22" location="'MATRIZ DE DESEMPENHO'!A1" display="MATRIZ DE AVALIAÇÃO DE DESEMPENHO DO C.A." xr:uid="{00000000-0004-0000-0100-000010000000}"/>
    <hyperlink ref="D25" location="'DOCUMENTOS DE MONITORIA'!A1" display="DOCUMENTOS DE MONITORIA" xr:uid="{00000000-0004-0000-0100-000011000000}"/>
    <hyperlink ref="D6" location="'DETALHE GANHOS E GASTOS'!A1" display="DETALHE DE GANHOS E GASTOS" xr:uid="{00000000-0004-0000-0100-000012000000}"/>
    <hyperlink ref="D7" location="'INFORMAÇÃO FINANCEIRA'!A1" display="INFORMAÇÃO FINANCEIRA - HISTÓRICA E ACTUAL" xr:uid="{00000000-0004-0000-0100-000013000000}"/>
    <hyperlink ref="D8" location="GRÁFICOS!A1" display="GRÁFICOS DAS PRINCIPAIS RUBRICAS DEM. RESULTADOS" xr:uid="{00000000-0004-0000-0100-000014000000}"/>
    <hyperlink ref="D9" location="'ESTRUTURA DE BALANÇO'!A1" display="ESTRUTURA DE BALANÇO" xr:uid="{00000000-0004-0000-0100-000015000000}"/>
    <hyperlink ref="D10" location="'DETALHE FST'!A1" display="DETALHE DOS FORNECIMENTOS E SERVIÇOS DE TERCEIROS" xr:uid="{00000000-0004-0000-0100-000016000000}"/>
    <hyperlink ref="D11" location="ENDIVIDAMENTO!A1" display="ENDIVIDAMENTO" xr:uid="{00000000-0004-0000-0100-000017000000}"/>
    <hyperlink ref="D14" location="DIVIDENDOS!A1" display="DIVIDENDOS PAGOS E RECEBIDOS" xr:uid="{00000000-0004-0000-0100-000018000000}"/>
    <hyperlink ref="D15" location="IMPOSTOS!A1" display="IMPOSTOS E CONTRIBUIÇÕES" xr:uid="{00000000-0004-0000-0100-000019000000}"/>
    <hyperlink ref="D12" location="'DETALHE EMPRÉSTIMOS'!A1" display="DETALHE DOS EMPRÉSTIMOS" xr:uid="{00000000-0004-0000-0100-00001A000000}"/>
    <hyperlink ref="D13" location="'GARANTIAS E RESPONSABILIDADES'!A1" display="GARANTIAS E RESPONSABILIDADES" xr:uid="{00000000-0004-0000-0100-00001B000000}"/>
    <hyperlink ref="D16" location="'PARTICIPAÇÕES FINANCEIRAS'!A1" display="PARTICIPAÇÕES FINANCEIRAS" xr:uid="{00000000-0004-0000-0100-00001C000000}"/>
    <hyperlink ref="B1" location="COVER!A1" display="BACK TO COVER" xr:uid="{00000000-0004-0000-0100-00001D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FC45"/>
  <sheetViews>
    <sheetView showGridLines="0" zoomScaleNormal="100" workbookViewId="0">
      <pane ySplit="1" topLeftCell="A2" activePane="bottomLeft" state="frozen"/>
      <selection pane="bottomLeft" activeCell="C10" sqref="C10"/>
    </sheetView>
  </sheetViews>
  <sheetFormatPr defaultColWidth="0" defaultRowHeight="15" zeroHeight="1" x14ac:dyDescent="0.25"/>
  <cols>
    <col min="1" max="1" width="1.140625" style="3" customWidth="1"/>
    <col min="2" max="2" width="39" style="4" customWidth="1"/>
    <col min="3" max="3" width="20" style="3" customWidth="1"/>
    <col min="4" max="4" width="6.140625" style="3" customWidth="1"/>
    <col min="5" max="7" width="16.42578125" style="3" customWidth="1"/>
    <col min="8" max="8" width="1.140625" style="3" customWidth="1"/>
    <col min="9" max="16383" width="9.140625" style="3" hidden="1"/>
    <col min="16384" max="16384" width="0.42578125" style="3" hidden="1"/>
  </cols>
  <sheetData>
    <row r="1" spans="1:8" ht="21" customHeight="1" x14ac:dyDescent="0.2">
      <c r="A1" s="2"/>
      <c r="B1" s="167" t="s">
        <v>29</v>
      </c>
      <c r="C1" s="2"/>
      <c r="D1" s="13"/>
      <c r="E1" s="2"/>
      <c r="F1" s="2"/>
      <c r="G1" s="2"/>
      <c r="H1" s="2"/>
    </row>
    <row r="2" spans="1:8" s="6" customFormat="1" ht="30.75" customHeight="1" x14ac:dyDescent="0.25">
      <c r="B2" s="376" t="s">
        <v>1</v>
      </c>
      <c r="C2" s="404"/>
      <c r="D2" s="404"/>
      <c r="E2" s="404"/>
      <c r="F2" s="404"/>
      <c r="G2" s="404"/>
    </row>
    <row r="3" spans="1:8" x14ac:dyDescent="0.2"/>
    <row r="4" spans="1:8" ht="63.75" customHeight="1" x14ac:dyDescent="0.2">
      <c r="B4" s="20"/>
    </row>
    <row r="5" spans="1:8" x14ac:dyDescent="0.25">
      <c r="B5" s="7" t="s">
        <v>25</v>
      </c>
      <c r="F5" s="12" t="s">
        <v>37</v>
      </c>
      <c r="G5" s="186">
        <f>IF(COVER!E6&lt;&gt;"",COVER!E6,"")</f>
        <v>2021</v>
      </c>
    </row>
    <row r="6" spans="1:8" x14ac:dyDescent="0.25"/>
    <row r="7" spans="1:8" ht="21.75" customHeight="1" x14ac:dyDescent="0.25">
      <c r="B7" s="414" t="s">
        <v>3</v>
      </c>
      <c r="C7" s="415"/>
      <c r="D7" s="415"/>
      <c r="E7" s="415"/>
      <c r="F7" s="415"/>
      <c r="G7" s="415"/>
    </row>
    <row r="8" spans="1:8" x14ac:dyDescent="0.25"/>
    <row r="9" spans="1:8" ht="20.25" customHeight="1" x14ac:dyDescent="0.25">
      <c r="B9" s="5" t="s">
        <v>4</v>
      </c>
      <c r="C9" s="416" t="str">
        <f>IF(COVER!E8&lt;&gt;"",COVER!E8,"")</f>
        <v>POWER BLOX AFRICA, S.A.</v>
      </c>
      <c r="D9" s="417"/>
      <c r="E9" s="417"/>
      <c r="F9" s="417"/>
      <c r="G9" s="418"/>
    </row>
    <row r="10" spans="1:8" x14ac:dyDescent="0.25"/>
    <row r="11" spans="1:8" ht="20.25" customHeight="1" x14ac:dyDescent="0.25">
      <c r="B11" s="5" t="s">
        <v>5</v>
      </c>
      <c r="C11" s="410"/>
      <c r="D11" s="411"/>
    </row>
    <row r="12" spans="1:8" x14ac:dyDescent="0.25"/>
    <row r="13" spans="1:8" ht="20.25" customHeight="1" x14ac:dyDescent="0.25">
      <c r="B13" s="5" t="s">
        <v>2</v>
      </c>
      <c r="C13" s="405"/>
      <c r="D13" s="406"/>
      <c r="E13" s="406"/>
      <c r="F13" s="406"/>
      <c r="G13" s="407"/>
    </row>
    <row r="14" spans="1:8" ht="20.25" customHeight="1" x14ac:dyDescent="0.25">
      <c r="B14" s="5" t="s">
        <v>12</v>
      </c>
      <c r="C14" s="405"/>
      <c r="D14" s="406"/>
      <c r="E14" s="407"/>
    </row>
    <row r="15" spans="1:8" x14ac:dyDescent="0.25"/>
    <row r="16" spans="1:8" ht="20.25" customHeight="1" x14ac:dyDescent="0.25">
      <c r="B16" s="17" t="s">
        <v>10</v>
      </c>
      <c r="C16" s="405"/>
      <c r="D16" s="406"/>
      <c r="E16" s="407"/>
    </row>
    <row r="17" spans="2:7" ht="20.25" customHeight="1" x14ac:dyDescent="0.25">
      <c r="B17" s="17" t="s">
        <v>21</v>
      </c>
      <c r="C17" s="405"/>
      <c r="D17" s="406"/>
      <c r="E17" s="407"/>
    </row>
    <row r="18" spans="2:7" ht="20.25" customHeight="1" x14ac:dyDescent="0.25">
      <c r="B18" s="17" t="s">
        <v>20</v>
      </c>
      <c r="C18" s="405"/>
      <c r="D18" s="406"/>
      <c r="E18" s="407"/>
    </row>
    <row r="19" spans="2:7" x14ac:dyDescent="0.25"/>
    <row r="20" spans="2:7" ht="20.25" customHeight="1" x14ac:dyDescent="0.25">
      <c r="B20" s="17" t="s">
        <v>9</v>
      </c>
      <c r="C20" s="405"/>
      <c r="D20" s="406"/>
      <c r="E20" s="407"/>
    </row>
    <row r="21" spans="2:7" ht="20.25" customHeight="1" x14ac:dyDescent="0.25">
      <c r="B21" s="17" t="s">
        <v>22</v>
      </c>
      <c r="C21" s="405"/>
      <c r="D21" s="406"/>
      <c r="E21" s="407"/>
    </row>
    <row r="22" spans="2:7" x14ac:dyDescent="0.25">
      <c r="B22" s="18" t="s">
        <v>23</v>
      </c>
    </row>
    <row r="23" spans="2:7" x14ac:dyDescent="0.25"/>
    <row r="24" spans="2:7" ht="21.75" customHeight="1" x14ac:dyDescent="0.25">
      <c r="B24" s="414" t="s">
        <v>11</v>
      </c>
      <c r="C24" s="415"/>
      <c r="D24" s="415"/>
      <c r="E24" s="415"/>
      <c r="F24" s="415"/>
      <c r="G24" s="415"/>
    </row>
    <row r="25" spans="2:7" x14ac:dyDescent="0.25"/>
    <row r="26" spans="2:7" ht="20.25" customHeight="1" x14ac:dyDescent="0.25">
      <c r="B26" s="5" t="s">
        <v>13</v>
      </c>
      <c r="C26" s="412"/>
      <c r="D26" s="413"/>
    </row>
    <row r="27" spans="2:7" ht="20.25" customHeight="1" x14ac:dyDescent="0.25">
      <c r="B27" s="17" t="s">
        <v>17</v>
      </c>
      <c r="C27" s="408"/>
      <c r="D27" s="409"/>
      <c r="E27" s="407"/>
    </row>
    <row r="28" spans="2:7" ht="20.25" customHeight="1" x14ac:dyDescent="0.25">
      <c r="B28" s="17" t="s">
        <v>16</v>
      </c>
      <c r="C28" s="405"/>
      <c r="D28" s="406"/>
      <c r="E28" s="407"/>
    </row>
    <row r="29" spans="2:7" x14ac:dyDescent="0.25"/>
    <row r="30" spans="2:7" ht="20.25" customHeight="1" x14ac:dyDescent="0.25">
      <c r="B30" s="17" t="s">
        <v>14</v>
      </c>
      <c r="C30" s="21"/>
      <c r="D30" s="22"/>
    </row>
    <row r="31" spans="2:7" x14ac:dyDescent="0.25">
      <c r="C31" s="7" t="s">
        <v>24</v>
      </c>
      <c r="D31" s="19" t="s">
        <v>19</v>
      </c>
    </row>
    <row r="32" spans="2:7" ht="20.25" customHeight="1" x14ac:dyDescent="0.25">
      <c r="B32" s="17" t="s">
        <v>174</v>
      </c>
      <c r="C32" s="101"/>
    </row>
    <row r="33" spans="2:7" ht="20.25" customHeight="1" x14ac:dyDescent="0.25">
      <c r="B33" s="17" t="s">
        <v>175</v>
      </c>
      <c r="C33" s="187" t="str">
        <f>IF(AND(C30&lt;&gt;"",C32&lt;&gt;""),C30/C32,"")</f>
        <v/>
      </c>
      <c r="D33" s="188" t="str">
        <f>IF(D30&lt;&gt;"",D30,"")</f>
        <v/>
      </c>
    </row>
    <row r="34" spans="2:7" x14ac:dyDescent="0.25">
      <c r="D34" s="19" t="s">
        <v>19</v>
      </c>
    </row>
    <row r="35" spans="2:7" x14ac:dyDescent="0.25">
      <c r="D35" s="19"/>
    </row>
    <row r="36" spans="2:7" ht="21.75" customHeight="1" x14ac:dyDescent="0.25">
      <c r="B36" s="414" t="s">
        <v>18</v>
      </c>
      <c r="C36" s="415"/>
      <c r="D36" s="415"/>
      <c r="E36" s="415"/>
      <c r="F36" s="415"/>
      <c r="G36" s="415"/>
    </row>
    <row r="37" spans="2:7" x14ac:dyDescent="0.25"/>
    <row r="38" spans="2:7" ht="28.5" customHeight="1" x14ac:dyDescent="0.25">
      <c r="B38" s="419"/>
      <c r="C38" s="420"/>
      <c r="D38" s="420"/>
      <c r="E38" s="420"/>
      <c r="F38" s="420"/>
      <c r="G38" s="421"/>
    </row>
    <row r="39" spans="2:7" x14ac:dyDescent="0.25"/>
    <row r="40" spans="2:7" ht="21.75" customHeight="1" x14ac:dyDescent="0.25">
      <c r="B40" s="414" t="s">
        <v>15</v>
      </c>
      <c r="C40" s="415"/>
      <c r="D40" s="415"/>
      <c r="E40" s="415"/>
      <c r="F40" s="415"/>
      <c r="G40" s="415"/>
    </row>
    <row r="41" spans="2:7" x14ac:dyDescent="0.25"/>
    <row r="42" spans="2:7" ht="68.25" customHeight="1" x14ac:dyDescent="0.25">
      <c r="B42" s="419"/>
      <c r="C42" s="420"/>
      <c r="D42" s="420"/>
      <c r="E42" s="420"/>
      <c r="F42" s="420"/>
      <c r="G42" s="421"/>
    </row>
    <row r="43" spans="2:7" x14ac:dyDescent="0.25"/>
    <row r="44" spans="2:7" x14ac:dyDescent="0.25"/>
    <row r="45" spans="2:7" x14ac:dyDescent="0.25"/>
  </sheetData>
  <sheetProtection algorithmName="SHA-512" hashValue="XuXLSVK++VQEOmcfzeE2DTBYHtk0eU1NDVDs5HWNroaJiV3jZg30Sj/jN/NrRpQbukJP7zm1jmSDlBJa1uBI1A==" saltValue="WpuWaideebv+VYR5e6xwUA==" spinCount="100000" sheet="1" sort="0" autoFilter="0"/>
  <mergeCells count="19">
    <mergeCell ref="B36:G36"/>
    <mergeCell ref="B40:G40"/>
    <mergeCell ref="C9:G9"/>
    <mergeCell ref="B38:G38"/>
    <mergeCell ref="B42:G42"/>
    <mergeCell ref="B2:G2"/>
    <mergeCell ref="C21:E21"/>
    <mergeCell ref="C27:E27"/>
    <mergeCell ref="C28:E28"/>
    <mergeCell ref="C11:D11"/>
    <mergeCell ref="C26:D26"/>
    <mergeCell ref="B7:G7"/>
    <mergeCell ref="B24:G24"/>
    <mergeCell ref="C13:G13"/>
    <mergeCell ref="C14:E14"/>
    <mergeCell ref="C16:E16"/>
    <mergeCell ref="C17:E17"/>
    <mergeCell ref="C18:E18"/>
    <mergeCell ref="C20:E20"/>
  </mergeCells>
  <hyperlinks>
    <hyperlink ref="B1" location="ÍNDICE!A1" display="BACK TO INDEX" xr:uid="{00000000-0004-0000-0200-000000000000}"/>
  </hyperlinks>
  <pageMargins left="0.7" right="0.7" top="0.75" bottom="0.75" header="0.3" footer="0.3"/>
  <pageSetup scale="77" orientation="portrait" r:id="rId1"/>
  <ignoredErrors>
    <ignoredError sqref="C33:D33"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FC48"/>
  <sheetViews>
    <sheetView showGridLines="0" zoomScaleNormal="100" workbookViewId="0">
      <pane ySplit="1" topLeftCell="A2" activePane="bottomLeft" state="frozen"/>
      <selection pane="bottomLeft" activeCell="C5" sqref="C5:G5"/>
    </sheetView>
  </sheetViews>
  <sheetFormatPr defaultColWidth="0" defaultRowHeight="15" customHeight="1" zeroHeight="1" x14ac:dyDescent="0.25"/>
  <cols>
    <col min="1" max="1" width="1.140625" style="3" customWidth="1"/>
    <col min="2" max="2" width="39" style="4" customWidth="1"/>
    <col min="3" max="3" width="20" style="3" customWidth="1"/>
    <col min="4" max="4" width="6.140625" style="3" customWidth="1"/>
    <col min="5" max="7" width="16.42578125" style="3" customWidth="1"/>
    <col min="8" max="8" width="1.140625" style="3" customWidth="1"/>
    <col min="9" max="16383" width="9.140625" style="3" hidden="1"/>
    <col min="16384" max="16384" width="0.7109375" style="3" hidden="1"/>
  </cols>
  <sheetData>
    <row r="1" spans="1:8" ht="21" customHeight="1" x14ac:dyDescent="0.2">
      <c r="A1" s="2"/>
      <c r="B1" s="167" t="s">
        <v>29</v>
      </c>
      <c r="C1" s="2"/>
      <c r="D1" s="13"/>
      <c r="E1" s="2"/>
      <c r="F1" s="2"/>
      <c r="G1" s="2"/>
      <c r="H1" s="2"/>
    </row>
    <row r="2" spans="1:8" ht="15" customHeight="1" x14ac:dyDescent="0.2"/>
    <row r="3" spans="1:8" ht="15" customHeight="1" x14ac:dyDescent="0.25">
      <c r="F3" s="12" t="s">
        <v>37</v>
      </c>
      <c r="G3" s="186">
        <f>IF(COVER!E6&lt;&gt;"",COVER!E6,"")</f>
        <v>2021</v>
      </c>
    </row>
    <row r="4" spans="1:8" ht="15" customHeight="1" x14ac:dyDescent="0.2"/>
    <row r="5" spans="1:8" ht="20.25" customHeight="1" x14ac:dyDescent="0.2">
      <c r="B5" s="5" t="s">
        <v>4</v>
      </c>
      <c r="C5" s="416" t="str">
        <f>IF(COVER!E8&lt;&gt;"",COVER!E8,"")</f>
        <v>POWER BLOX AFRICA, S.A.</v>
      </c>
      <c r="D5" s="417"/>
      <c r="E5" s="417"/>
      <c r="F5" s="417"/>
      <c r="G5" s="418"/>
    </row>
    <row r="6" spans="1:8" ht="15" customHeight="1" x14ac:dyDescent="0.2">
      <c r="F6" s="12"/>
      <c r="G6" s="12"/>
    </row>
    <row r="7" spans="1:8" s="6" customFormat="1" ht="30.75" customHeight="1" x14ac:dyDescent="0.25">
      <c r="B7" s="376" t="s">
        <v>26</v>
      </c>
      <c r="C7" s="404"/>
      <c r="D7" s="404"/>
      <c r="E7" s="404"/>
      <c r="F7" s="404"/>
      <c r="G7" s="404"/>
    </row>
    <row r="8" spans="1:8" x14ac:dyDescent="0.2"/>
    <row r="9" spans="1:8" ht="78.75" customHeight="1" x14ac:dyDescent="0.25">
      <c r="B9" s="419"/>
      <c r="C9" s="420"/>
      <c r="D9" s="420"/>
      <c r="E9" s="420"/>
      <c r="F9" s="420"/>
      <c r="G9" s="421"/>
    </row>
    <row r="10" spans="1:8" x14ac:dyDescent="0.25">
      <c r="B10" s="7"/>
    </row>
    <row r="11" spans="1:8" x14ac:dyDescent="0.25"/>
    <row r="12" spans="1:8" s="6" customFormat="1" ht="30.75" customHeight="1" x14ac:dyDescent="0.25">
      <c r="B12" s="376" t="s">
        <v>27</v>
      </c>
      <c r="C12" s="404"/>
      <c r="D12" s="404"/>
      <c r="E12" s="404"/>
      <c r="F12" s="404"/>
      <c r="G12" s="404"/>
    </row>
    <row r="13" spans="1:8" x14ac:dyDescent="0.25"/>
    <row r="14" spans="1:8" ht="78.75" customHeight="1" x14ac:dyDescent="0.25">
      <c r="B14" s="419"/>
      <c r="C14" s="420"/>
      <c r="D14" s="420"/>
      <c r="E14" s="420"/>
      <c r="F14" s="420"/>
      <c r="G14" s="421"/>
    </row>
    <row r="15" spans="1:8" x14ac:dyDescent="0.25"/>
    <row r="16" spans="1:8" x14ac:dyDescent="0.25"/>
    <row r="17" spans="2:7" s="6" customFormat="1" ht="30.75" customHeight="1" x14ac:dyDescent="0.25">
      <c r="B17" s="376" t="s">
        <v>28</v>
      </c>
      <c r="C17" s="404"/>
      <c r="D17" s="404"/>
      <c r="E17" s="404"/>
      <c r="F17" s="404"/>
      <c r="G17" s="404"/>
    </row>
    <row r="18" spans="2:7" x14ac:dyDescent="0.25"/>
    <row r="19" spans="2:7" ht="78.75" customHeight="1" x14ac:dyDescent="0.25">
      <c r="B19" s="419"/>
      <c r="C19" s="420"/>
      <c r="D19" s="420"/>
      <c r="E19" s="420"/>
      <c r="F19" s="420"/>
      <c r="G19" s="421"/>
    </row>
    <row r="20" spans="2:7" ht="15" customHeight="1" x14ac:dyDescent="0.25"/>
    <row r="21" spans="2:7" ht="15" customHeight="1" x14ac:dyDescent="0.25"/>
    <row r="22" spans="2:7" ht="15" customHeight="1" x14ac:dyDescent="0.25"/>
    <row r="23" spans="2:7" ht="15" customHeight="1" x14ac:dyDescent="0.25"/>
    <row r="24" spans="2:7" ht="15" customHeight="1" x14ac:dyDescent="0.25"/>
    <row r="25" spans="2:7" ht="15" customHeight="1" x14ac:dyDescent="0.25"/>
    <row r="26" spans="2:7" ht="15" customHeight="1" x14ac:dyDescent="0.25"/>
    <row r="27" spans="2:7" ht="15" customHeight="1" x14ac:dyDescent="0.25"/>
    <row r="28" spans="2:7" ht="15" customHeight="1" x14ac:dyDescent="0.25"/>
    <row r="29" spans="2:7" ht="15" customHeight="1" x14ac:dyDescent="0.25"/>
    <row r="48" ht="15" customHeight="1" x14ac:dyDescent="0.25"/>
  </sheetData>
  <sheetProtection algorithmName="SHA-512" hashValue="DhaC+qpNz62PBKpgwavMjIwld+C2SV+SABcHHzeEsl6VpGEdenVOYobsHIm8x2A/RJCFJG4JWJ3HPP9Oh8lDtQ==" saltValue="9WUm1cOLSaELi6IzZNnBGQ==" spinCount="100000" sheet="1" sort="0" autoFilter="0"/>
  <mergeCells count="7">
    <mergeCell ref="B19:G19"/>
    <mergeCell ref="B7:G7"/>
    <mergeCell ref="C5:G5"/>
    <mergeCell ref="B9:G9"/>
    <mergeCell ref="B12:G12"/>
    <mergeCell ref="B14:G14"/>
    <mergeCell ref="B17:G17"/>
  </mergeCells>
  <hyperlinks>
    <hyperlink ref="B1" location="ÍNDICE!A1" display="BACK TO INDEX" xr:uid="{00000000-0004-0000-0300-000000000000}"/>
  </hyperlinks>
  <pageMargins left="0.7" right="0.7" top="0.75" bottom="0.75" header="0.3" footer="0.3"/>
  <pageSetup scale="77" orientation="portrait" r:id="rId1"/>
  <colBreaks count="1" manualBreakCount="1">
    <brk id="8" min="6"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XFC61"/>
  <sheetViews>
    <sheetView showGridLines="0" zoomScaleNormal="100" workbookViewId="0">
      <pane ySplit="1" topLeftCell="A2" activePane="bottomLeft" state="frozen"/>
      <selection pane="bottomLeft" activeCell="A2" sqref="A2"/>
    </sheetView>
  </sheetViews>
  <sheetFormatPr defaultColWidth="0" defaultRowHeight="15" customHeight="1" zeroHeight="1" x14ac:dyDescent="0.25"/>
  <cols>
    <col min="1" max="1" width="1.140625" style="3" customWidth="1"/>
    <col min="2" max="2" width="39" style="4" customWidth="1"/>
    <col min="3" max="3" width="17.42578125" style="3" customWidth="1"/>
    <col min="4" max="4" width="19.28515625" style="3" customWidth="1"/>
    <col min="5" max="5" width="16.42578125" style="3" customWidth="1"/>
    <col min="6" max="6" width="1.140625" style="3" customWidth="1"/>
    <col min="7" max="16383" width="9.140625" style="3" hidden="1"/>
    <col min="16384" max="16384" width="0.7109375" style="3" hidden="1"/>
  </cols>
  <sheetData>
    <row r="1" spans="1:8" ht="21" customHeight="1" x14ac:dyDescent="0.2">
      <c r="A1" s="2"/>
      <c r="B1" s="167" t="s">
        <v>29</v>
      </c>
      <c r="C1" s="2"/>
      <c r="D1" s="2"/>
      <c r="E1" s="2"/>
      <c r="F1" s="2"/>
    </row>
    <row r="2" spans="1:8" ht="15" customHeight="1" x14ac:dyDescent="0.2"/>
    <row r="3" spans="1:8" ht="15" customHeight="1" x14ac:dyDescent="0.25">
      <c r="D3" s="12" t="s">
        <v>37</v>
      </c>
      <c r="E3" s="186">
        <f>IF(COVER!E6&lt;&gt;"",COVER!E6,"")</f>
        <v>2021</v>
      </c>
    </row>
    <row r="4" spans="1:8" ht="15" customHeight="1" x14ac:dyDescent="0.2"/>
    <row r="5" spans="1:8" ht="20.25" customHeight="1" x14ac:dyDescent="0.2">
      <c r="B5" s="5" t="s">
        <v>4</v>
      </c>
      <c r="C5" s="416" t="str">
        <f>IF(COVER!E8&lt;&gt;"",COVER!E8,"")</f>
        <v>POWER BLOX AFRICA, S.A.</v>
      </c>
      <c r="D5" s="417"/>
      <c r="E5" s="417"/>
    </row>
    <row r="6" spans="1:8" ht="15" customHeight="1" x14ac:dyDescent="0.2"/>
    <row r="7" spans="1:8" ht="20.25" customHeight="1" x14ac:dyDescent="0.25">
      <c r="B7" s="422" t="s">
        <v>47</v>
      </c>
      <c r="C7" s="377"/>
      <c r="D7" s="423"/>
      <c r="E7" s="424"/>
    </row>
    <row r="8" spans="1:8" ht="15" customHeight="1" x14ac:dyDescent="0.25">
      <c r="B8" s="7" t="s">
        <v>48</v>
      </c>
    </row>
    <row r="9" spans="1:8" ht="15" customHeight="1" x14ac:dyDescent="0.25"/>
    <row r="10" spans="1:8" s="6" customFormat="1" ht="30.75" customHeight="1" x14ac:dyDescent="0.25">
      <c r="B10" s="376" t="s">
        <v>0</v>
      </c>
      <c r="C10" s="404"/>
      <c r="D10" s="404"/>
      <c r="E10" s="404"/>
    </row>
    <row r="11" spans="1:8" x14ac:dyDescent="0.25">
      <c r="B11" s="7"/>
    </row>
    <row r="12" spans="1:8" s="8" customFormat="1" ht="34.5" customHeight="1" x14ac:dyDescent="0.25">
      <c r="B12" s="426" t="s">
        <v>30</v>
      </c>
      <c r="C12" s="427"/>
      <c r="D12" s="9" t="s">
        <v>31</v>
      </c>
      <c r="E12" s="10" t="s">
        <v>34</v>
      </c>
    </row>
    <row r="13" spans="1:8" ht="19.5" customHeight="1" x14ac:dyDescent="0.25">
      <c r="B13" s="425"/>
      <c r="C13" s="411"/>
      <c r="D13" s="14"/>
      <c r="E13" s="15"/>
      <c r="H13" s="11"/>
    </row>
    <row r="14" spans="1:8" ht="19.5" customHeight="1" x14ac:dyDescent="0.25">
      <c r="B14" s="425"/>
      <c r="C14" s="411"/>
      <c r="D14" s="14"/>
      <c r="E14" s="15"/>
      <c r="H14" s="11"/>
    </row>
    <row r="15" spans="1:8" ht="19.5" customHeight="1" x14ac:dyDescent="0.25">
      <c r="B15" s="425"/>
      <c r="C15" s="411"/>
      <c r="D15" s="14"/>
      <c r="E15" s="15"/>
      <c r="H15" s="11"/>
    </row>
    <row r="16" spans="1:8" ht="19.5" customHeight="1" x14ac:dyDescent="0.25">
      <c r="B16" s="425"/>
      <c r="C16" s="411"/>
      <c r="D16" s="14"/>
      <c r="E16" s="15"/>
      <c r="H16" s="11"/>
    </row>
    <row r="17" spans="2:8" ht="19.5" customHeight="1" x14ac:dyDescent="0.25">
      <c r="B17" s="425"/>
      <c r="C17" s="411"/>
      <c r="D17" s="14"/>
      <c r="E17" s="15"/>
      <c r="F17" s="11"/>
      <c r="H17" s="11"/>
    </row>
    <row r="18" spans="2:8" ht="19.5" customHeight="1" x14ac:dyDescent="0.25">
      <c r="B18" s="425"/>
      <c r="C18" s="411"/>
      <c r="D18" s="14"/>
      <c r="E18" s="15"/>
      <c r="F18" s="11"/>
      <c r="H18" s="11"/>
    </row>
    <row r="19" spans="2:8" ht="19.5" customHeight="1" x14ac:dyDescent="0.25">
      <c r="B19" s="425"/>
      <c r="C19" s="411"/>
      <c r="D19" s="14"/>
      <c r="E19" s="15"/>
      <c r="H19" s="11"/>
    </row>
    <row r="20" spans="2:8" ht="19.5" customHeight="1" x14ac:dyDescent="0.25">
      <c r="B20" s="425"/>
      <c r="C20" s="411"/>
      <c r="D20" s="14"/>
      <c r="E20" s="15"/>
      <c r="H20" s="11"/>
    </row>
    <row r="21" spans="2:8" ht="19.5" customHeight="1" x14ac:dyDescent="0.25">
      <c r="B21" s="425"/>
      <c r="C21" s="411"/>
      <c r="D21" s="14"/>
      <c r="E21" s="15"/>
      <c r="H21" s="11"/>
    </row>
    <row r="22" spans="2:8" ht="19.5" customHeight="1" x14ac:dyDescent="0.25">
      <c r="B22" s="425"/>
      <c r="C22" s="411"/>
      <c r="D22" s="16"/>
      <c r="E22" s="15"/>
      <c r="H22" s="11"/>
    </row>
    <row r="23" spans="2:8" ht="31.5" customHeight="1" x14ac:dyDescent="0.25">
      <c r="D23" s="189">
        <f>SUM(D13:D22)</f>
        <v>0</v>
      </c>
      <c r="E23" s="191" t="str">
        <f>IF(AND(D23&lt;&gt;0,D23&lt;&gt;1),"error","")</f>
        <v/>
      </c>
    </row>
    <row r="24" spans="2:8" ht="15" customHeight="1" x14ac:dyDescent="0.25"/>
    <row r="25" spans="2:8" ht="15" customHeight="1" x14ac:dyDescent="0.25"/>
    <row r="26" spans="2:8" ht="18.75" customHeight="1" x14ac:dyDescent="0.25">
      <c r="D26" s="12" t="s">
        <v>35</v>
      </c>
      <c r="E26" s="190">
        <f>SUMIF(E13:E22,Auxiliar!A2,D13:D22)</f>
        <v>0</v>
      </c>
    </row>
    <row r="27" spans="2:8" ht="18.75" customHeight="1" x14ac:dyDescent="0.25">
      <c r="D27" s="12" t="s">
        <v>36</v>
      </c>
      <c r="E27" s="190">
        <f>SUMIF(E13:E22,Auxiliar!A3,D13:D22)</f>
        <v>0</v>
      </c>
    </row>
    <row r="28" spans="2:8" ht="15" customHeight="1" x14ac:dyDescent="0.25"/>
    <row r="29" spans="2:8" ht="15" customHeight="1" x14ac:dyDescent="0.25"/>
    <row r="30" spans="2:8" ht="15" customHeight="1" x14ac:dyDescent="0.25"/>
    <row r="31" spans="2:8" ht="15" customHeight="1" x14ac:dyDescent="0.25"/>
    <row r="32" spans="2:8" ht="15" customHeight="1" x14ac:dyDescent="0.25"/>
    <row r="61" ht="15" customHeight="1" x14ac:dyDescent="0.25"/>
  </sheetData>
  <sheetProtection algorithmName="SHA-512" hashValue="FxiqnLylmGTLAd0TWSAnQLrJv08qoMtXvfCLgSGhsrDlnD+RvLv/Er40kVJzOCc3KOAHlin9kBJiTZa1GxTClA==" saltValue="xDhopmnvvrQ/zSsfSLT5Yw==" spinCount="100000" sheet="1" objects="1" scenarios="1" sort="0" autoFilter="0"/>
  <mergeCells count="15">
    <mergeCell ref="B22:C22"/>
    <mergeCell ref="B12:C12"/>
    <mergeCell ref="B13:C13"/>
    <mergeCell ref="B14:C14"/>
    <mergeCell ref="B15:C15"/>
    <mergeCell ref="B16:C16"/>
    <mergeCell ref="B17:C17"/>
    <mergeCell ref="B18:C18"/>
    <mergeCell ref="B19:C19"/>
    <mergeCell ref="B20:C20"/>
    <mergeCell ref="C5:E5"/>
    <mergeCell ref="B10:E10"/>
    <mergeCell ref="B7:C7"/>
    <mergeCell ref="D7:E7"/>
    <mergeCell ref="B21:C21"/>
  </mergeCells>
  <conditionalFormatting sqref="E23">
    <cfRule type="expression" dxfId="60" priority="1">
      <formula>$E$23&lt;&gt;""</formula>
    </cfRule>
  </conditionalFormatting>
  <hyperlinks>
    <hyperlink ref="B1" location="ÍNDICE!A1" display="BACK TO INDEX" xr:uid="{00000000-0004-0000-0400-000000000000}"/>
  </hyperlinks>
  <pageMargins left="0.70866141732283472" right="0.70866141732283472" top="0.74803149606299213" bottom="0.74803149606299213" header="0.31496062992125984" footer="0.31496062992125984"/>
  <pageSetup scale="95"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Auxiliar!$A$2:$A$3</xm:f>
          </x14:formula1>
          <xm:sqref>E13:E22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56"/>
  <sheetViews>
    <sheetView showGridLines="0" zoomScaleNormal="100" workbookViewId="0">
      <pane ySplit="1" topLeftCell="A2" activePane="bottomLeft" state="frozen"/>
      <selection pane="bottomLeft" activeCell="F37" sqref="F37"/>
    </sheetView>
  </sheetViews>
  <sheetFormatPr defaultColWidth="0" defaultRowHeight="15" customHeight="1" zeroHeight="1" x14ac:dyDescent="0.25"/>
  <cols>
    <col min="1" max="1" width="1.140625" style="3" customWidth="1"/>
    <col min="2" max="2" width="39" style="4" customWidth="1"/>
    <col min="3" max="3" width="21.7109375" style="3" customWidth="1"/>
    <col min="4" max="5" width="19.28515625" style="3" customWidth="1"/>
    <col min="6" max="6" width="33.140625" style="3" customWidth="1"/>
    <col min="7" max="7" width="1.140625" style="3" customWidth="1"/>
    <col min="8" max="16384" width="9.140625" style="3" hidden="1"/>
  </cols>
  <sheetData>
    <row r="1" spans="1:9" ht="21" customHeight="1" x14ac:dyDescent="0.2">
      <c r="A1" s="2"/>
      <c r="B1" s="167" t="s">
        <v>29</v>
      </c>
      <c r="C1" s="2"/>
      <c r="D1" s="2"/>
      <c r="E1" s="2"/>
      <c r="F1" s="2"/>
      <c r="G1" s="2"/>
    </row>
    <row r="2" spans="1:9" ht="15" customHeight="1" x14ac:dyDescent="0.2"/>
    <row r="3" spans="1:9" ht="15" customHeight="1" x14ac:dyDescent="0.25">
      <c r="D3" s="12" t="s">
        <v>37</v>
      </c>
      <c r="E3" s="186">
        <f>IF(COVER!E6&lt;&gt;"",COVER!E6,"")</f>
        <v>2021</v>
      </c>
    </row>
    <row r="4" spans="1:9" ht="15" customHeight="1" x14ac:dyDescent="0.2"/>
    <row r="5" spans="1:9" ht="20.25" customHeight="1" x14ac:dyDescent="0.2">
      <c r="B5" s="5" t="s">
        <v>4</v>
      </c>
      <c r="C5" s="416" t="str">
        <f>IF(COVER!E8&lt;&gt;"",COVER!E8,"")</f>
        <v>POWER BLOX AFRICA, S.A.</v>
      </c>
      <c r="D5" s="430"/>
      <c r="E5" s="430"/>
    </row>
    <row r="6" spans="1:9" ht="15" customHeight="1" x14ac:dyDescent="0.2"/>
    <row r="7" spans="1:9" s="6" customFormat="1" ht="30.75" customHeight="1" x14ac:dyDescent="0.25">
      <c r="B7" s="376" t="s">
        <v>38</v>
      </c>
      <c r="C7" s="404"/>
      <c r="D7" s="404"/>
      <c r="E7" s="404"/>
      <c r="F7" s="404"/>
    </row>
    <row r="8" spans="1:9" x14ac:dyDescent="0.2"/>
    <row r="9" spans="1:9" s="6" customFormat="1" ht="30.75" customHeight="1" x14ac:dyDescent="0.25">
      <c r="B9" s="428" t="s">
        <v>45</v>
      </c>
      <c r="C9" s="429"/>
      <c r="D9" s="429"/>
      <c r="E9" s="429"/>
      <c r="F9" s="429"/>
    </row>
    <row r="10" spans="1:9" s="8" customFormat="1" ht="34.5" customHeight="1" x14ac:dyDescent="0.25">
      <c r="B10" s="25" t="s">
        <v>39</v>
      </c>
      <c r="C10" s="26" t="s">
        <v>40</v>
      </c>
      <c r="D10" s="23" t="s">
        <v>41</v>
      </c>
      <c r="E10" s="23" t="s">
        <v>42</v>
      </c>
      <c r="F10" s="24" t="s">
        <v>43</v>
      </c>
    </row>
    <row r="11" spans="1:9" ht="19.5" customHeight="1" x14ac:dyDescent="0.25">
      <c r="B11" s="27"/>
      <c r="C11" s="28"/>
      <c r="D11" s="29"/>
      <c r="E11" s="29"/>
      <c r="F11" s="30"/>
      <c r="I11" s="11"/>
    </row>
    <row r="12" spans="1:9" ht="19.5" customHeight="1" x14ac:dyDescent="0.25">
      <c r="B12" s="27"/>
      <c r="C12" s="28"/>
      <c r="D12" s="29"/>
      <c r="E12" s="29"/>
      <c r="F12" s="30"/>
      <c r="I12" s="11"/>
    </row>
    <row r="13" spans="1:9" ht="19.5" customHeight="1" x14ac:dyDescent="0.25">
      <c r="B13" s="27"/>
      <c r="C13" s="28"/>
      <c r="D13" s="29"/>
      <c r="E13" s="29"/>
      <c r="F13" s="30"/>
      <c r="I13" s="11"/>
    </row>
    <row r="14" spans="1:9" ht="19.5" customHeight="1" x14ac:dyDescent="0.25">
      <c r="B14" s="27"/>
      <c r="C14" s="28"/>
      <c r="D14" s="29"/>
      <c r="E14" s="29"/>
      <c r="F14" s="30"/>
      <c r="G14" s="11"/>
      <c r="I14" s="11"/>
    </row>
    <row r="15" spans="1:9" ht="19.5" customHeight="1" x14ac:dyDescent="0.25">
      <c r="B15" s="27"/>
      <c r="C15" s="28"/>
      <c r="D15" s="29"/>
      <c r="E15" s="29"/>
      <c r="F15" s="30"/>
      <c r="G15" s="11"/>
      <c r="I15" s="11"/>
    </row>
    <row r="16" spans="1:9" ht="15" customHeight="1" x14ac:dyDescent="0.25"/>
    <row r="17" spans="2:9" s="6" customFormat="1" ht="30.75" customHeight="1" x14ac:dyDescent="0.25">
      <c r="B17" s="428" t="s">
        <v>44</v>
      </c>
      <c r="C17" s="429"/>
      <c r="D17" s="429"/>
      <c r="E17" s="429"/>
      <c r="F17" s="429"/>
    </row>
    <row r="18" spans="2:9" s="8" customFormat="1" ht="34.5" customHeight="1" x14ac:dyDescent="0.25">
      <c r="B18" s="25" t="s">
        <v>39</v>
      </c>
      <c r="C18" s="26" t="s">
        <v>40</v>
      </c>
      <c r="D18" s="23" t="s">
        <v>41</v>
      </c>
      <c r="E18" s="23" t="s">
        <v>42</v>
      </c>
      <c r="F18" s="24" t="s">
        <v>43</v>
      </c>
    </row>
    <row r="19" spans="2:9" ht="19.5" customHeight="1" x14ac:dyDescent="0.25">
      <c r="B19" s="27"/>
      <c r="C19" s="28"/>
      <c r="D19" s="29"/>
      <c r="E19" s="29"/>
      <c r="F19" s="30"/>
      <c r="I19" s="11"/>
    </row>
    <row r="20" spans="2:9" ht="19.5" customHeight="1" x14ac:dyDescent="0.25">
      <c r="B20" s="27"/>
      <c r="C20" s="28"/>
      <c r="D20" s="29"/>
      <c r="E20" s="29"/>
      <c r="F20" s="30"/>
      <c r="I20" s="11"/>
    </row>
    <row r="21" spans="2:9" ht="19.5" customHeight="1" x14ac:dyDescent="0.25">
      <c r="B21" s="27"/>
      <c r="C21" s="28"/>
      <c r="D21" s="29"/>
      <c r="E21" s="29"/>
      <c r="F21" s="30"/>
      <c r="I21" s="11"/>
    </row>
    <row r="22" spans="2:9" ht="19.5" customHeight="1" x14ac:dyDescent="0.25">
      <c r="B22" s="27"/>
      <c r="C22" s="28"/>
      <c r="D22" s="29"/>
      <c r="E22" s="29"/>
      <c r="F22" s="30"/>
      <c r="I22" s="11"/>
    </row>
    <row r="23" spans="2:9" ht="19.5" customHeight="1" x14ac:dyDescent="0.25">
      <c r="B23" s="27"/>
      <c r="C23" s="28"/>
      <c r="D23" s="29"/>
      <c r="E23" s="29"/>
      <c r="F23" s="30"/>
      <c r="G23" s="11"/>
      <c r="I23" s="11"/>
    </row>
    <row r="24" spans="2:9" ht="19.5" customHeight="1" x14ac:dyDescent="0.25">
      <c r="B24" s="27"/>
      <c r="C24" s="28"/>
      <c r="D24" s="29"/>
      <c r="E24" s="29"/>
      <c r="F24" s="30"/>
      <c r="G24" s="11"/>
      <c r="I24" s="11"/>
    </row>
    <row r="25" spans="2:9" ht="19.5" customHeight="1" x14ac:dyDescent="0.25">
      <c r="B25" s="27"/>
      <c r="C25" s="28"/>
      <c r="D25" s="29"/>
      <c r="E25" s="29"/>
      <c r="F25" s="30"/>
      <c r="G25" s="11"/>
      <c r="I25" s="11"/>
    </row>
    <row r="26" spans="2:9" ht="19.5" customHeight="1" x14ac:dyDescent="0.25">
      <c r="B26" s="27"/>
      <c r="C26" s="28"/>
      <c r="D26" s="29"/>
      <c r="E26" s="29"/>
      <c r="F26" s="30"/>
      <c r="G26" s="11"/>
      <c r="I26" s="11"/>
    </row>
    <row r="27" spans="2:9" ht="19.5" customHeight="1" x14ac:dyDescent="0.25">
      <c r="B27" s="27"/>
      <c r="C27" s="28"/>
      <c r="D27" s="29"/>
      <c r="E27" s="29"/>
      <c r="F27" s="30"/>
      <c r="I27" s="11"/>
    </row>
    <row r="28" spans="2:9" ht="16.5" customHeight="1" x14ac:dyDescent="0.25"/>
    <row r="29" spans="2:9" s="6" customFormat="1" ht="30.75" customHeight="1" x14ac:dyDescent="0.25">
      <c r="B29" s="428" t="s">
        <v>46</v>
      </c>
      <c r="C29" s="429"/>
      <c r="D29" s="429"/>
      <c r="E29" s="429"/>
      <c r="F29" s="429"/>
    </row>
    <row r="30" spans="2:9" s="8" customFormat="1" ht="34.5" customHeight="1" x14ac:dyDescent="0.25">
      <c r="B30" s="25" t="s">
        <v>39</v>
      </c>
      <c r="C30" s="26" t="s">
        <v>40</v>
      </c>
      <c r="D30" s="23" t="s">
        <v>41</v>
      </c>
      <c r="E30" s="23" t="s">
        <v>42</v>
      </c>
      <c r="F30" s="24" t="s">
        <v>43</v>
      </c>
    </row>
    <row r="31" spans="2:9" ht="19.5" customHeight="1" x14ac:dyDescent="0.25">
      <c r="B31" s="27"/>
      <c r="C31" s="28"/>
      <c r="D31" s="29"/>
      <c r="E31" s="29"/>
      <c r="F31" s="30"/>
      <c r="I31" s="11"/>
    </row>
    <row r="32" spans="2:9" ht="19.5" customHeight="1" x14ac:dyDescent="0.25">
      <c r="B32" s="27"/>
      <c r="C32" s="28"/>
      <c r="D32" s="29"/>
      <c r="E32" s="29"/>
      <c r="F32" s="30"/>
      <c r="I32" s="11"/>
    </row>
    <row r="33" spans="2:9" ht="19.5" customHeight="1" x14ac:dyDescent="0.25">
      <c r="B33" s="27"/>
      <c r="C33" s="28"/>
      <c r="D33" s="29"/>
      <c r="E33" s="29"/>
      <c r="F33" s="30"/>
      <c r="I33" s="11"/>
    </row>
    <row r="34" spans="2:9" ht="19.5" customHeight="1" x14ac:dyDescent="0.25">
      <c r="B34" s="27"/>
      <c r="C34" s="28"/>
      <c r="D34" s="29"/>
      <c r="E34" s="29"/>
      <c r="F34" s="30"/>
      <c r="I34" s="11"/>
    </row>
    <row r="35" spans="2:9" ht="19.5" customHeight="1" x14ac:dyDescent="0.25">
      <c r="B35" s="27"/>
      <c r="C35" s="28"/>
      <c r="D35" s="29"/>
      <c r="E35" s="29"/>
      <c r="F35" s="30"/>
      <c r="G35" s="11"/>
      <c r="I35" s="11"/>
    </row>
    <row r="36" spans="2:9" ht="16.5" customHeight="1" x14ac:dyDescent="0.25"/>
    <row r="37" spans="2:9" ht="16.5" customHeight="1" x14ac:dyDescent="0.25"/>
    <row r="38" spans="2:9" ht="16.5" customHeight="1" x14ac:dyDescent="0.25"/>
    <row r="39" spans="2:9" ht="16.5" hidden="1" customHeight="1" x14ac:dyDescent="0.2"/>
    <row r="40" spans="2:9" ht="16.5" hidden="1" customHeight="1" x14ac:dyDescent="0.2"/>
    <row r="41" spans="2:9" ht="16.5" hidden="1" customHeight="1" x14ac:dyDescent="0.2"/>
    <row r="42" spans="2:9" ht="16.5" hidden="1" customHeight="1" x14ac:dyDescent="0.2"/>
    <row r="43" spans="2:9" ht="16.5" hidden="1" customHeight="1" x14ac:dyDescent="0.2"/>
    <row r="44" spans="2:9" ht="16.5" hidden="1" customHeight="1" x14ac:dyDescent="0.2"/>
    <row r="45" spans="2:9" ht="16.5" hidden="1" customHeight="1" x14ac:dyDescent="0.2"/>
    <row r="46" spans="2:9" ht="16.5" hidden="1" customHeight="1" x14ac:dyDescent="0.2"/>
    <row r="47" spans="2:9" ht="16.5" hidden="1" customHeight="1" x14ac:dyDescent="0.2"/>
    <row r="48" spans="2:9" ht="16.5" hidden="1" customHeight="1" x14ac:dyDescent="0.2"/>
    <row r="49" ht="16.5" hidden="1" customHeight="1" x14ac:dyDescent="0.2"/>
    <row r="50" ht="16.5" hidden="1" customHeight="1" x14ac:dyDescent="0.2"/>
    <row r="51" ht="16.5" hidden="1" customHeight="1" x14ac:dyDescent="0.2"/>
    <row r="52" ht="16.5" hidden="1" customHeight="1" x14ac:dyDescent="0.2"/>
    <row r="53" ht="16.5" hidden="1" customHeight="1" x14ac:dyDescent="0.2"/>
    <row r="54" ht="16.5" hidden="1" customHeight="1" x14ac:dyDescent="0.2"/>
    <row r="55" ht="16.5" hidden="1" customHeight="1" x14ac:dyDescent="0.2"/>
    <row r="56" ht="16.5" hidden="1" customHeight="1" x14ac:dyDescent="0.2"/>
  </sheetData>
  <sheetProtection algorithmName="SHA-512" hashValue="f97RET1kXiwb2aLEiigZHF8VrOYrSxjCHPxLpmcGPfQAj2Dj4UwGTs1SvUI43YESf0ZdHFIo76H4N4sO2URMrg==" saltValue="PcwqIQ1Si2zluWpASE4jgw==" spinCount="100000" sheet="1" objects="1" scenarios="1" sort="0" autoFilter="0"/>
  <mergeCells count="5">
    <mergeCell ref="B9:F9"/>
    <mergeCell ref="B17:F17"/>
    <mergeCell ref="B29:F29"/>
    <mergeCell ref="C5:E5"/>
    <mergeCell ref="B7:F7"/>
  </mergeCells>
  <hyperlinks>
    <hyperlink ref="B1" location="ÍNDICE!A1" display="BACK TO INDEX" xr:uid="{00000000-0004-0000-0500-000000000000}"/>
  </hyperlinks>
  <pageMargins left="0.70866141732283472" right="0.70866141732283472" top="0.74803149606299213" bottom="0.74803149606299213" header="0.31496062992125984" footer="0.31496062992125984"/>
  <pageSetup scale="6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39"/>
  <sheetViews>
    <sheetView showGridLines="0" zoomScaleNormal="100" workbookViewId="0">
      <pane ySplit="1" topLeftCell="A10" activePane="bottomLeft" state="frozen"/>
      <selection pane="bottomLeft" activeCell="B9" sqref="B9:F1048576"/>
    </sheetView>
  </sheetViews>
  <sheetFormatPr defaultColWidth="0" defaultRowHeight="15" customHeight="1" zeroHeight="1" x14ac:dyDescent="0.25"/>
  <cols>
    <col min="1" max="1" width="1.140625" style="3" customWidth="1"/>
    <col min="2" max="2" width="39" style="4" customWidth="1"/>
    <col min="3" max="3" width="21.7109375" style="3" customWidth="1"/>
    <col min="4" max="5" width="19.28515625" style="3" customWidth="1"/>
    <col min="6" max="6" width="33.140625" style="3" customWidth="1"/>
    <col min="7" max="7" width="1.140625" style="3" customWidth="1"/>
    <col min="8" max="16384" width="9.140625" style="3" hidden="1"/>
  </cols>
  <sheetData>
    <row r="1" spans="1:9" ht="21" customHeight="1" x14ac:dyDescent="0.2">
      <c r="A1" s="2"/>
      <c r="B1" s="167" t="s">
        <v>29</v>
      </c>
      <c r="C1" s="2"/>
      <c r="D1" s="2"/>
      <c r="E1" s="2"/>
      <c r="F1" s="2"/>
      <c r="G1" s="2"/>
    </row>
    <row r="2" spans="1:9" ht="15" customHeight="1" x14ac:dyDescent="0.2"/>
    <row r="3" spans="1:9" ht="15" customHeight="1" x14ac:dyDescent="0.25">
      <c r="D3" s="12" t="s">
        <v>37</v>
      </c>
      <c r="E3" s="186">
        <f>IF(COVER!E6&lt;&gt;"",COVER!E6,"")</f>
        <v>2021</v>
      </c>
    </row>
    <row r="4" spans="1:9" ht="15" customHeight="1" x14ac:dyDescent="0.2"/>
    <row r="5" spans="1:9" ht="20.25" customHeight="1" x14ac:dyDescent="0.2">
      <c r="B5" s="5" t="s">
        <v>4</v>
      </c>
      <c r="C5" s="416" t="str">
        <f>IF(COVER!E8&lt;&gt;"",COVER!E8,"")</f>
        <v>POWER BLOX AFRICA, S.A.</v>
      </c>
      <c r="D5" s="430"/>
      <c r="E5" s="430"/>
    </row>
    <row r="6" spans="1:9" ht="15" customHeight="1" x14ac:dyDescent="0.2"/>
    <row r="7" spans="1:9" s="6" customFormat="1" ht="30.75" customHeight="1" x14ac:dyDescent="0.2">
      <c r="B7" s="376" t="s">
        <v>50</v>
      </c>
      <c r="C7" s="404"/>
      <c r="D7" s="404"/>
      <c r="E7" s="404"/>
      <c r="F7" s="404"/>
    </row>
    <row r="8" spans="1:9" x14ac:dyDescent="0.2"/>
    <row r="9" spans="1:9" ht="180" customHeight="1" x14ac:dyDescent="0.25">
      <c r="B9" s="387"/>
      <c r="C9" s="431"/>
      <c r="D9" s="431"/>
      <c r="E9" s="431"/>
      <c r="F9" s="431"/>
      <c r="I9" s="11"/>
    </row>
    <row r="10" spans="1:9" ht="180" customHeight="1" x14ac:dyDescent="0.25">
      <c r="B10" s="431"/>
      <c r="C10" s="431"/>
      <c r="D10" s="431"/>
      <c r="E10" s="431"/>
      <c r="F10" s="431"/>
      <c r="I10" s="11"/>
    </row>
    <row r="11" spans="1:9" ht="180" customHeight="1" x14ac:dyDescent="0.25">
      <c r="B11" s="431"/>
      <c r="C11" s="431"/>
      <c r="D11" s="431"/>
      <c r="E11" s="431"/>
      <c r="F11" s="431"/>
      <c r="I11" s="11"/>
    </row>
    <row r="12" spans="1:9" ht="16.5" customHeight="1" x14ac:dyDescent="0.25"/>
    <row r="13" spans="1:9" ht="16.5" customHeight="1" x14ac:dyDescent="0.25"/>
    <row r="14" spans="1:9" ht="16.5" customHeight="1" x14ac:dyDescent="0.25"/>
    <row r="15" spans="1:9" ht="16.5" customHeight="1" x14ac:dyDescent="0.25"/>
    <row r="16" spans="1:9" ht="16.5" hidden="1" customHeight="1" x14ac:dyDescent="0.2"/>
    <row r="17" ht="16.5" hidden="1" customHeight="1" x14ac:dyDescent="0.2"/>
    <row r="18" ht="16.5" hidden="1" customHeight="1" x14ac:dyDescent="0.2"/>
    <row r="19" ht="16.5" hidden="1" customHeight="1" x14ac:dyDescent="0.2"/>
    <row r="20" ht="16.5" hidden="1" customHeight="1" x14ac:dyDescent="0.2"/>
    <row r="21" ht="16.5" hidden="1" customHeight="1" x14ac:dyDescent="0.2"/>
    <row r="22" ht="16.5" hidden="1" customHeight="1" x14ac:dyDescent="0.2"/>
    <row r="23" ht="16.5" hidden="1" customHeight="1" x14ac:dyDescent="0.2"/>
    <row r="24" ht="16.5" hidden="1" customHeight="1" x14ac:dyDescent="0.2"/>
    <row r="25" ht="16.5" hidden="1" customHeight="1" x14ac:dyDescent="0.2"/>
    <row r="26" ht="16.5" hidden="1" customHeight="1" x14ac:dyDescent="0.2"/>
    <row r="27" ht="16.5" hidden="1" customHeight="1" x14ac:dyDescent="0.2"/>
    <row r="28" ht="16.5" hidden="1" customHeight="1" x14ac:dyDescent="0.2"/>
    <row r="29" ht="16.5" hidden="1" customHeight="1" x14ac:dyDescent="0.2"/>
    <row r="30" ht="16.5" hidden="1" customHeight="1" x14ac:dyDescent="0.2"/>
    <row r="31" ht="16.5" hidden="1" customHeight="1" x14ac:dyDescent="0.2"/>
    <row r="32" ht="16.5" hidden="1" customHeight="1" x14ac:dyDescent="0.2"/>
    <row r="33" ht="16.5" hidden="1" customHeight="1" x14ac:dyDescent="0.2"/>
    <row r="34" ht="16.5" hidden="1" customHeight="1" x14ac:dyDescent="0.2"/>
    <row r="35" ht="16.5" hidden="1" customHeight="1" x14ac:dyDescent="0.2"/>
    <row r="36" ht="16.5" hidden="1" customHeight="1" x14ac:dyDescent="0.2"/>
    <row r="37" ht="16.5" hidden="1" customHeight="1" x14ac:dyDescent="0.2"/>
    <row r="38" ht="16.5" hidden="1" customHeight="1" x14ac:dyDescent="0.2"/>
    <row r="39" ht="16.5" hidden="1" customHeight="1" x14ac:dyDescent="0.2"/>
  </sheetData>
  <sheetProtection algorithmName="SHA-512" hashValue="+D4rhjQuQvTzdGdqeFSUVsN4i8UyiQpDHM66ntBGGtvpH3eBh/X3ILnf/LLmuiy4POCJ6xHedIa090WPttlcnA==" saltValue="fHTGhEbn/FLMNxNtLGpbXg==" spinCount="100000" sheet="1" sort="0" autoFilter="0"/>
  <mergeCells count="3">
    <mergeCell ref="B7:F7"/>
    <mergeCell ref="C5:E5"/>
    <mergeCell ref="B9:F11"/>
  </mergeCells>
  <hyperlinks>
    <hyperlink ref="B1" location="ÍNDICE!A1" display="BACK TO INDEX" xr:uid="{00000000-0004-0000-0600-000000000000}"/>
  </hyperlinks>
  <pageMargins left="0.70866141732283472" right="0.70866141732283472" top="0.74803149606299213" bottom="0.74803149606299213" header="0.31496062992125984" footer="0.31496062992125984"/>
  <pageSetup scale="66"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75"/>
  <sheetViews>
    <sheetView showGridLines="0" zoomScaleNormal="100" workbookViewId="0">
      <pane ySplit="1" topLeftCell="A11" activePane="bottomLeft" state="frozen"/>
      <selection activeCell="B1" sqref="B1:C1"/>
      <selection pane="bottomLeft" activeCell="J74" sqref="J74"/>
    </sheetView>
  </sheetViews>
  <sheetFormatPr defaultColWidth="0" defaultRowHeight="15" customHeight="1" zeroHeight="1" x14ac:dyDescent="0.25"/>
  <cols>
    <col min="1" max="1" width="1.140625" style="3" customWidth="1"/>
    <col min="2" max="2" width="39" style="4" customWidth="1"/>
    <col min="3" max="7" width="11.7109375" style="3" customWidth="1"/>
    <col min="8" max="8" width="18.28515625" style="3" customWidth="1"/>
    <col min="9" max="9" width="8.85546875" style="3" customWidth="1"/>
    <col min="10" max="10" width="16.85546875" style="3" customWidth="1"/>
    <col min="11" max="11" width="1.140625" style="3" customWidth="1"/>
    <col min="12" max="12" width="9.140625" style="3" hidden="1" customWidth="1"/>
    <col min="13" max="16384" width="5" style="3" hidden="1"/>
  </cols>
  <sheetData>
    <row r="1" spans="1:11" ht="21" customHeight="1" x14ac:dyDescent="0.2">
      <c r="A1" s="2"/>
      <c r="B1" s="167" t="s">
        <v>29</v>
      </c>
      <c r="C1" s="2"/>
      <c r="D1" s="2"/>
      <c r="E1" s="2"/>
      <c r="F1" s="2"/>
      <c r="G1" s="2"/>
      <c r="H1" s="2"/>
      <c r="I1" s="2"/>
      <c r="J1" s="2"/>
      <c r="K1" s="2"/>
    </row>
    <row r="2" spans="1:11" ht="15" customHeight="1" x14ac:dyDescent="0.2"/>
    <row r="3" spans="1:11" ht="15" customHeight="1" x14ac:dyDescent="0.25">
      <c r="D3" s="12" t="s">
        <v>37</v>
      </c>
      <c r="E3" s="186">
        <f>IF(COVER!E6&lt;&gt;"",COVER!E6,"")</f>
        <v>2021</v>
      </c>
    </row>
    <row r="4" spans="1:11" ht="15" customHeight="1" x14ac:dyDescent="0.2"/>
    <row r="5" spans="1:11" ht="20.25" customHeight="1" x14ac:dyDescent="0.2">
      <c r="B5" s="5" t="s">
        <v>4</v>
      </c>
      <c r="C5" s="436" t="str">
        <f>IF(COVER!E8&lt;&gt;"",COVER!E8,"")</f>
        <v>POWER BLOX AFRICA, S.A.</v>
      </c>
      <c r="D5" s="374"/>
      <c r="E5" s="374"/>
      <c r="F5" s="437"/>
    </row>
    <row r="6" spans="1:11" ht="15" customHeight="1" x14ac:dyDescent="0.2"/>
    <row r="7" spans="1:11" ht="15" customHeight="1" x14ac:dyDescent="0.2"/>
    <row r="8" spans="1:11" s="6" customFormat="1" ht="30.75" customHeight="1" x14ac:dyDescent="0.25">
      <c r="B8" s="376" t="s">
        <v>49</v>
      </c>
      <c r="C8" s="377"/>
      <c r="D8" s="377"/>
      <c r="E8" s="377"/>
      <c r="F8" s="377"/>
      <c r="G8" s="377"/>
      <c r="H8" s="377"/>
      <c r="I8" s="377"/>
      <c r="J8" s="377"/>
    </row>
    <row r="9" spans="1:11" x14ac:dyDescent="0.25"/>
    <row r="10" spans="1:11" ht="21.75" customHeight="1" x14ac:dyDescent="0.25">
      <c r="B10" s="414" t="s">
        <v>38</v>
      </c>
      <c r="C10" s="438"/>
      <c r="D10" s="438"/>
      <c r="E10" s="438"/>
      <c r="F10" s="438"/>
      <c r="G10" s="438"/>
      <c r="H10" s="438"/>
      <c r="I10" s="438"/>
      <c r="J10" s="438"/>
    </row>
    <row r="11" spans="1:11" x14ac:dyDescent="0.25"/>
    <row r="12" spans="1:11" s="31" customFormat="1" ht="30" x14ac:dyDescent="0.25">
      <c r="B12" s="32"/>
      <c r="C12" s="33" t="s">
        <v>55</v>
      </c>
      <c r="D12" s="34" t="s">
        <v>54</v>
      </c>
      <c r="E12" s="34" t="s">
        <v>56</v>
      </c>
      <c r="F12" s="34" t="s">
        <v>60</v>
      </c>
      <c r="G12" s="34" t="s">
        <v>61</v>
      </c>
      <c r="H12" s="34" t="s">
        <v>64</v>
      </c>
      <c r="I12" s="34" t="s">
        <v>52</v>
      </c>
      <c r="J12" s="35" t="s">
        <v>53</v>
      </c>
    </row>
    <row r="13" spans="1:11" ht="3.75" customHeight="1" x14ac:dyDescent="0.25"/>
    <row r="14" spans="1:11" ht="20.25" customHeight="1" x14ac:dyDescent="0.25">
      <c r="B14" s="5" t="s">
        <v>51</v>
      </c>
      <c r="C14" s="36"/>
      <c r="D14" s="37"/>
      <c r="E14" s="37"/>
      <c r="F14" s="37"/>
      <c r="G14" s="37"/>
      <c r="H14" s="39"/>
      <c r="I14" s="37"/>
      <c r="J14" s="199" t="str">
        <f>IF(AND(C14&lt;&gt;"",H14&lt;&gt;""),H14/C14,"")</f>
        <v/>
      </c>
    </row>
    <row r="15" spans="1:11" ht="3.75" customHeight="1" x14ac:dyDescent="0.25">
      <c r="C15" s="38"/>
      <c r="D15" s="38"/>
      <c r="E15" s="38"/>
      <c r="F15" s="38"/>
      <c r="G15" s="38"/>
      <c r="H15" s="40"/>
      <c r="I15" s="38"/>
      <c r="J15" s="40"/>
    </row>
    <row r="16" spans="1:11" ht="20.25" customHeight="1" x14ac:dyDescent="0.25">
      <c r="B16" s="5" t="s">
        <v>57</v>
      </c>
      <c r="C16" s="36"/>
      <c r="D16" s="37"/>
      <c r="E16" s="37"/>
      <c r="F16" s="37"/>
      <c r="G16" s="37"/>
      <c r="H16" s="39"/>
      <c r="I16" s="37"/>
      <c r="J16" s="199" t="str">
        <f>IF(AND(C16&lt;&gt;"",H16&lt;&gt;""),H16/C16,"")</f>
        <v/>
      </c>
    </row>
    <row r="17" spans="2:10" ht="3.75" customHeight="1" x14ac:dyDescent="0.25">
      <c r="C17" s="38"/>
      <c r="D17" s="38"/>
      <c r="E17" s="38"/>
      <c r="F17" s="38"/>
      <c r="G17" s="38"/>
      <c r="H17" s="40"/>
      <c r="I17" s="38"/>
      <c r="J17" s="40"/>
    </row>
    <row r="18" spans="2:10" ht="20.25" customHeight="1" x14ac:dyDescent="0.25">
      <c r="B18" s="5" t="s">
        <v>58</v>
      </c>
      <c r="C18" s="36"/>
      <c r="D18" s="37"/>
      <c r="E18" s="37"/>
      <c r="F18" s="37"/>
      <c r="G18" s="37"/>
      <c r="H18" s="39"/>
      <c r="I18" s="37"/>
      <c r="J18" s="199" t="str">
        <f>IF(AND(C18&lt;&gt;"",H18&lt;&gt;""),H18/C18,"")</f>
        <v/>
      </c>
    </row>
    <row r="19" spans="2:10" ht="3.75" customHeight="1" x14ac:dyDescent="0.25">
      <c r="C19" s="38"/>
      <c r="D19" s="38"/>
      <c r="E19" s="38"/>
      <c r="F19" s="38"/>
      <c r="G19" s="38"/>
      <c r="H19" s="40"/>
      <c r="I19" s="38"/>
      <c r="J19" s="40"/>
    </row>
    <row r="20" spans="2:10" ht="20.25" customHeight="1" x14ac:dyDescent="0.25">
      <c r="B20" s="5" t="s">
        <v>59</v>
      </c>
      <c r="C20" s="36"/>
      <c r="D20" s="37"/>
      <c r="E20" s="37"/>
      <c r="F20" s="37"/>
      <c r="G20" s="37"/>
      <c r="H20" s="39"/>
      <c r="I20" s="37"/>
      <c r="J20" s="199" t="str">
        <f>IF(AND(C20&lt;&gt;"",H20&lt;&gt;""),H20/C20,"")</f>
        <v/>
      </c>
    </row>
    <row r="21" spans="2:10" x14ac:dyDescent="0.25"/>
    <row r="22" spans="2:10" ht="21.75" customHeight="1" x14ac:dyDescent="0.25">
      <c r="B22" s="414" t="s">
        <v>62</v>
      </c>
      <c r="C22" s="377"/>
      <c r="D22" s="377"/>
      <c r="E22" s="377"/>
      <c r="F22" s="377"/>
      <c r="G22" s="377"/>
      <c r="H22" s="377"/>
      <c r="I22" s="377"/>
      <c r="J22" s="377"/>
    </row>
    <row r="23" spans="2:10" x14ac:dyDescent="0.25"/>
    <row r="24" spans="2:10" s="31" customFormat="1" ht="30" x14ac:dyDescent="0.25">
      <c r="B24" s="32"/>
      <c r="C24" s="33" t="s">
        <v>55</v>
      </c>
      <c r="D24" s="34" t="s">
        <v>54</v>
      </c>
      <c r="E24" s="34" t="s">
        <v>56</v>
      </c>
      <c r="F24" s="34" t="s">
        <v>60</v>
      </c>
      <c r="G24" s="34" t="s">
        <v>61</v>
      </c>
      <c r="H24" s="34" t="s">
        <v>64</v>
      </c>
      <c r="I24" s="34" t="s">
        <v>52</v>
      </c>
      <c r="J24" s="35" t="s">
        <v>53</v>
      </c>
    </row>
    <row r="25" spans="2:10" ht="3.75" customHeight="1" x14ac:dyDescent="0.25"/>
    <row r="26" spans="2:10" ht="20.25" customHeight="1" x14ac:dyDescent="0.25">
      <c r="B26" s="5" t="s">
        <v>62</v>
      </c>
      <c r="C26" s="36"/>
      <c r="D26" s="37"/>
      <c r="E26" s="37"/>
      <c r="F26" s="37"/>
      <c r="G26" s="37"/>
      <c r="H26" s="39"/>
      <c r="I26" s="37"/>
      <c r="J26" s="199" t="str">
        <f>IF(AND(C26&lt;&gt;"",H26&lt;&gt;""),H26/C26,"")</f>
        <v/>
      </c>
    </row>
    <row r="27" spans="2:10" x14ac:dyDescent="0.25"/>
    <row r="28" spans="2:10" ht="20.25" customHeight="1" x14ac:dyDescent="0.25">
      <c r="B28" s="45" t="s">
        <v>63</v>
      </c>
      <c r="C28" s="200">
        <f>C14+C16+C18+C20+C26</f>
        <v>0</v>
      </c>
      <c r="D28" s="201">
        <f>D14+D16+D18+D20+D26</f>
        <v>0</v>
      </c>
      <c r="E28" s="201">
        <f t="shared" ref="E28:G28" si="0">E14+E16+E18+E20+E26</f>
        <v>0</v>
      </c>
      <c r="F28" s="201">
        <f t="shared" si="0"/>
        <v>0</v>
      </c>
      <c r="G28" s="201">
        <f t="shared" si="0"/>
        <v>0</v>
      </c>
    </row>
    <row r="29" spans="2:10" ht="15" customHeight="1" x14ac:dyDescent="0.25"/>
    <row r="30" spans="2:10" ht="15" customHeight="1" x14ac:dyDescent="0.25"/>
    <row r="31" spans="2:10" ht="15" customHeight="1" x14ac:dyDescent="0.25">
      <c r="B31" s="5" t="s">
        <v>65</v>
      </c>
      <c r="C31" s="36"/>
    </row>
    <row r="32" spans="2:10" ht="15" customHeight="1" x14ac:dyDescent="0.25">
      <c r="B32" s="5" t="s">
        <v>66</v>
      </c>
      <c r="C32" s="36"/>
    </row>
    <row r="33" spans="2:3" ht="15" customHeight="1" x14ac:dyDescent="0.25">
      <c r="B33" s="5" t="s">
        <v>67</v>
      </c>
      <c r="C33" s="36"/>
    </row>
    <row r="34" spans="2:3" ht="15" customHeight="1" x14ac:dyDescent="0.25">
      <c r="B34" s="5" t="s">
        <v>68</v>
      </c>
      <c r="C34" s="36"/>
    </row>
    <row r="35" spans="2:3" ht="15" customHeight="1" x14ac:dyDescent="0.25">
      <c r="B35" s="5" t="s">
        <v>69</v>
      </c>
      <c r="C35" s="36"/>
    </row>
    <row r="36" spans="2:3" ht="15" customHeight="1" x14ac:dyDescent="0.25">
      <c r="B36" s="5" t="s">
        <v>70</v>
      </c>
      <c r="C36" s="41"/>
    </row>
    <row r="37" spans="2:3" ht="15" customHeight="1" x14ac:dyDescent="0.25">
      <c r="C37" s="202">
        <f>SUM(C31:C36)</f>
        <v>0</v>
      </c>
    </row>
    <row r="38" spans="2:3" ht="15" customHeight="1" x14ac:dyDescent="0.25"/>
    <row r="39" spans="2:3" ht="15" customHeight="1" x14ac:dyDescent="0.25"/>
    <row r="40" spans="2:3" ht="15" customHeight="1" x14ac:dyDescent="0.25"/>
    <row r="41" spans="2:3" ht="15" customHeight="1" x14ac:dyDescent="0.25"/>
    <row r="42" spans="2:3" ht="15" customHeight="1" x14ac:dyDescent="0.25"/>
    <row r="43" spans="2:3" ht="15" customHeight="1" x14ac:dyDescent="0.25"/>
    <row r="44" spans="2:3" ht="15" customHeight="1" x14ac:dyDescent="0.25"/>
    <row r="45" spans="2:3" ht="15" customHeight="1" x14ac:dyDescent="0.25"/>
    <row r="46" spans="2:3" ht="15" customHeight="1" x14ac:dyDescent="0.25"/>
    <row r="47" spans="2:3" ht="15" customHeight="1" x14ac:dyDescent="0.25"/>
    <row r="48" spans="2:3" ht="15" customHeight="1" x14ac:dyDescent="0.25"/>
    <row r="49" spans="2:10" ht="15" customHeight="1" x14ac:dyDescent="0.25"/>
    <row r="50" spans="2:10" ht="15" customHeight="1" x14ac:dyDescent="0.25"/>
    <row r="51" spans="2:10" ht="15" customHeight="1" x14ac:dyDescent="0.25"/>
    <row r="52" spans="2:10" ht="15" customHeight="1" x14ac:dyDescent="0.25">
      <c r="C52" s="44">
        <f>IF(D52&lt;&gt;"",D52-1,"")</f>
        <v>2017</v>
      </c>
      <c r="D52" s="44">
        <f>IF(E52&lt;&gt;"",E52-1,"")</f>
        <v>2018</v>
      </c>
      <c r="E52" s="44">
        <f>IF(F52&lt;&gt;"",F52-1,"")</f>
        <v>2019</v>
      </c>
      <c r="F52" s="44">
        <f>IF(G52&lt;&gt;"",G52-1,"")</f>
        <v>2020</v>
      </c>
      <c r="G52" s="44">
        <f>E3</f>
        <v>2021</v>
      </c>
    </row>
    <row r="53" spans="2:10" ht="20.25" customHeight="1" x14ac:dyDescent="0.25">
      <c r="B53" s="45" t="s">
        <v>71</v>
      </c>
      <c r="C53" s="42"/>
      <c r="D53" s="43"/>
      <c r="E53" s="43"/>
      <c r="F53" s="43"/>
      <c r="G53" s="43"/>
    </row>
    <row r="54" spans="2:10" ht="15" customHeight="1" x14ac:dyDescent="0.25"/>
    <row r="55" spans="2:10" ht="15" customHeight="1" x14ac:dyDescent="0.25"/>
    <row r="56" spans="2:10" ht="21.75" customHeight="1" x14ac:dyDescent="0.25">
      <c r="B56" s="414" t="s">
        <v>72</v>
      </c>
      <c r="C56" s="377"/>
      <c r="D56" s="377"/>
      <c r="E56" s="377"/>
      <c r="F56" s="377"/>
      <c r="G56" s="377"/>
      <c r="H56" s="377"/>
      <c r="I56" s="377"/>
      <c r="J56" s="377"/>
    </row>
    <row r="57" spans="2:10" x14ac:dyDescent="0.15">
      <c r="E57" s="46" t="s">
        <v>19</v>
      </c>
    </row>
    <row r="58" spans="2:10" ht="20.25" customHeight="1" x14ac:dyDescent="0.25">
      <c r="B58" s="5" t="s">
        <v>78</v>
      </c>
      <c r="C58" s="432"/>
      <c r="D58" s="433"/>
      <c r="E58" s="204"/>
    </row>
    <row r="59" spans="2:10" ht="7.5" customHeight="1" x14ac:dyDescent="0.25">
      <c r="E59" s="19"/>
    </row>
    <row r="60" spans="2:10" ht="20.25" customHeight="1" x14ac:dyDescent="0.25">
      <c r="B60" s="5" t="s">
        <v>73</v>
      </c>
      <c r="C60" s="47"/>
    </row>
    <row r="61" spans="2:10" ht="7.5" customHeight="1" x14ac:dyDescent="0.15">
      <c r="E61" s="46" t="s">
        <v>19</v>
      </c>
    </row>
    <row r="62" spans="2:10" ht="20.25" customHeight="1" x14ac:dyDescent="0.25">
      <c r="B62" s="5" t="s">
        <v>74</v>
      </c>
      <c r="C62" s="432"/>
      <c r="D62" s="433"/>
      <c r="E62" s="204"/>
      <c r="G62" s="434" t="s">
        <v>75</v>
      </c>
      <c r="H62" s="435"/>
      <c r="I62" s="203" t="str">
        <f>IF(AND(C58&lt;&gt;"",C62&lt;&gt;""),C62/C58,"")</f>
        <v/>
      </c>
    </row>
    <row r="63" spans="2:10" ht="15" customHeight="1" x14ac:dyDescent="0.25"/>
    <row r="64" spans="2:10" ht="15" customHeight="1" x14ac:dyDescent="0.25"/>
    <row r="65" spans="2:10" ht="21.75" customHeight="1" x14ac:dyDescent="0.25">
      <c r="B65" s="414" t="s">
        <v>76</v>
      </c>
      <c r="C65" s="377"/>
      <c r="D65" s="377"/>
      <c r="E65" s="377"/>
      <c r="F65" s="377"/>
      <c r="G65" s="377"/>
      <c r="H65" s="377"/>
      <c r="I65" s="377"/>
      <c r="J65" s="377"/>
    </row>
    <row r="66" spans="2:10" x14ac:dyDescent="0.15">
      <c r="E66" s="46" t="s">
        <v>19</v>
      </c>
    </row>
    <row r="67" spans="2:10" ht="20.25" customHeight="1" x14ac:dyDescent="0.25">
      <c r="B67" s="5" t="s">
        <v>77</v>
      </c>
      <c r="C67" s="432"/>
      <c r="D67" s="433"/>
      <c r="E67" s="204"/>
    </row>
    <row r="68" spans="2:10" ht="7.5" customHeight="1" x14ac:dyDescent="0.25">
      <c r="E68" s="19"/>
    </row>
    <row r="69" spans="2:10" ht="20.25" customHeight="1" x14ac:dyDescent="0.25">
      <c r="B69" s="5" t="s">
        <v>79</v>
      </c>
      <c r="C69" s="47"/>
    </row>
    <row r="70" spans="2:10" ht="7.5" customHeight="1" x14ac:dyDescent="0.15">
      <c r="E70" s="46" t="s">
        <v>19</v>
      </c>
    </row>
    <row r="71" spans="2:10" ht="20.25" customHeight="1" x14ac:dyDescent="0.25">
      <c r="B71" s="5" t="s">
        <v>80</v>
      </c>
      <c r="C71" s="432"/>
      <c r="D71" s="433"/>
      <c r="E71" s="204"/>
      <c r="G71" s="434" t="s">
        <v>81</v>
      </c>
      <c r="H71" s="435"/>
      <c r="I71" s="203" t="str">
        <f>IF(AND(C67&lt;&gt;"",C71&lt;&gt;""),C71/C67,"")</f>
        <v/>
      </c>
    </row>
    <row r="72" spans="2:10" ht="15" customHeight="1" x14ac:dyDescent="0.25"/>
    <row r="73" spans="2:10" ht="15" customHeight="1" x14ac:dyDescent="0.25"/>
    <row r="74" spans="2:10" ht="15" customHeight="1" x14ac:dyDescent="0.25"/>
    <row r="75" spans="2:10" ht="15" customHeight="1" x14ac:dyDescent="0.25"/>
  </sheetData>
  <sheetProtection algorithmName="SHA-512" hashValue="tMtm3qORBK+/6WbKRZddG6fxtDYoMkwGobzjURrhXSmmbgftg4Z9i3RxV6+ddYFvRFOmdgb2+65LXpCo3bsP+g==" saltValue="G9slK7qrnHz3URb9g5xpbQ==" spinCount="100000" sheet="1" objects="1" scenarios="1" sort="0" autoFilter="0"/>
  <mergeCells count="12">
    <mergeCell ref="B8:J8"/>
    <mergeCell ref="C58:D58"/>
    <mergeCell ref="C5:F5"/>
    <mergeCell ref="B10:J10"/>
    <mergeCell ref="B22:J22"/>
    <mergeCell ref="B56:J56"/>
    <mergeCell ref="C62:D62"/>
    <mergeCell ref="G62:H62"/>
    <mergeCell ref="C67:D67"/>
    <mergeCell ref="C71:D71"/>
    <mergeCell ref="G71:H71"/>
    <mergeCell ref="B65:J65"/>
  </mergeCells>
  <conditionalFormatting sqref="D14">
    <cfRule type="expression" dxfId="59" priority="34">
      <formula>$D14+$E14&lt;&gt;$C14</formula>
    </cfRule>
  </conditionalFormatting>
  <conditionalFormatting sqref="E14">
    <cfRule type="expression" dxfId="58" priority="33">
      <formula>$D14+$E14&lt;&gt;$C14</formula>
    </cfRule>
  </conditionalFormatting>
  <conditionalFormatting sqref="D16">
    <cfRule type="expression" dxfId="57" priority="32">
      <formula>$D16+$E16&lt;&gt;$C16</formula>
    </cfRule>
  </conditionalFormatting>
  <conditionalFormatting sqref="E16">
    <cfRule type="expression" dxfId="56" priority="31">
      <formula>$D16+$E16&lt;&gt;$C16</formula>
    </cfRule>
  </conditionalFormatting>
  <conditionalFormatting sqref="D18">
    <cfRule type="expression" dxfId="55" priority="30">
      <formula>$D18+$E18&lt;&gt;$C18</formula>
    </cfRule>
  </conditionalFormatting>
  <conditionalFormatting sqref="E18">
    <cfRule type="expression" dxfId="54" priority="29">
      <formula>$D18+$E18&lt;&gt;$C18</formula>
    </cfRule>
  </conditionalFormatting>
  <conditionalFormatting sqref="D20">
    <cfRule type="expression" dxfId="53" priority="28">
      <formula>$D20+$E20&lt;&gt;$C20</formula>
    </cfRule>
  </conditionalFormatting>
  <conditionalFormatting sqref="E20">
    <cfRule type="expression" dxfId="52" priority="27">
      <formula>$D20+$E20&lt;&gt;$C20</formula>
    </cfRule>
  </conditionalFormatting>
  <conditionalFormatting sqref="D26">
    <cfRule type="expression" dxfId="51" priority="26">
      <formula>$D26+$E26&lt;&gt;$C26</formula>
    </cfRule>
  </conditionalFormatting>
  <conditionalFormatting sqref="E26">
    <cfRule type="expression" dxfId="50" priority="25">
      <formula>$D26+$E26&lt;&gt;$C26</formula>
    </cfRule>
  </conditionalFormatting>
  <conditionalFormatting sqref="D28">
    <cfRule type="expression" dxfId="49" priority="24">
      <formula>$D28+$E28&lt;&gt;$C28</formula>
    </cfRule>
  </conditionalFormatting>
  <conditionalFormatting sqref="E28">
    <cfRule type="expression" dxfId="48" priority="23">
      <formula>$D28+$E28&lt;&gt;$C28</formula>
    </cfRule>
  </conditionalFormatting>
  <conditionalFormatting sqref="F14">
    <cfRule type="expression" dxfId="47" priority="22">
      <formula>$F14+$G14&lt;&gt;$C14</formula>
    </cfRule>
  </conditionalFormatting>
  <conditionalFormatting sqref="G14">
    <cfRule type="expression" dxfId="46" priority="20">
      <formula>$F14+$G14&lt;&gt;$C14</formula>
    </cfRule>
  </conditionalFormatting>
  <conditionalFormatting sqref="F16">
    <cfRule type="expression" dxfId="45" priority="19">
      <formula>$F16+$G16&lt;&gt;$C16</formula>
    </cfRule>
  </conditionalFormatting>
  <conditionalFormatting sqref="G16">
    <cfRule type="expression" dxfId="44" priority="18">
      <formula>$F16+$G16&lt;&gt;$C16</formula>
    </cfRule>
  </conditionalFormatting>
  <conditionalFormatting sqref="F18">
    <cfRule type="expression" dxfId="43" priority="17">
      <formula>$F18+$G18&lt;&gt;$C18</formula>
    </cfRule>
  </conditionalFormatting>
  <conditionalFormatting sqref="G18">
    <cfRule type="expression" dxfId="42" priority="16">
      <formula>$F18+$G18&lt;&gt;$C18</formula>
    </cfRule>
  </conditionalFormatting>
  <conditionalFormatting sqref="F20">
    <cfRule type="expression" dxfId="41" priority="15">
      <formula>$F20+$G20&lt;&gt;$C20</formula>
    </cfRule>
  </conditionalFormatting>
  <conditionalFormatting sqref="G20">
    <cfRule type="expression" dxfId="40" priority="14">
      <formula>$F20+$G20&lt;&gt;$C20</formula>
    </cfRule>
  </conditionalFormatting>
  <conditionalFormatting sqref="F26">
    <cfRule type="expression" dxfId="39" priority="13">
      <formula>$F26+$G26&lt;&gt;$C26</formula>
    </cfRule>
  </conditionalFormatting>
  <conditionalFormatting sqref="G26">
    <cfRule type="expression" dxfId="38" priority="12">
      <formula>$F26+$G26&lt;&gt;$C26</formula>
    </cfRule>
  </conditionalFormatting>
  <conditionalFormatting sqref="F28">
    <cfRule type="expression" dxfId="37" priority="11">
      <formula>$F28+$G28&lt;&gt;$C28</formula>
    </cfRule>
  </conditionalFormatting>
  <conditionalFormatting sqref="G28">
    <cfRule type="expression" dxfId="36" priority="10">
      <formula>$F28+$G28&lt;&gt;$C28</formula>
    </cfRule>
  </conditionalFormatting>
  <conditionalFormatting sqref="C37">
    <cfRule type="expression" dxfId="35" priority="9">
      <formula>$C$37&lt;&gt;$C$28</formula>
    </cfRule>
  </conditionalFormatting>
  <hyperlinks>
    <hyperlink ref="B1" location="ÍNDICE!A1" display="BACK TO INDEX" xr:uid="{00000000-0004-0000-0700-000000000000}"/>
  </hyperlinks>
  <pageMargins left="0.7" right="0.7" top="0.75" bottom="0.75" header="0.3" footer="0.3"/>
  <pageSetup scale="60" orientation="portrait" r:id="rId1"/>
  <rowBreaks count="1" manualBreakCount="1">
    <brk id="75" max="12"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249977111117893"/>
  </sheetPr>
  <dimension ref="A1:Z424"/>
  <sheetViews>
    <sheetView showGridLines="0" tabSelected="1" zoomScaleNormal="100" workbookViewId="0">
      <pane ySplit="1" topLeftCell="A2" activePane="bottomLeft" state="frozen"/>
      <selection activeCell="B1" sqref="B1:C1"/>
      <selection pane="bottomLeft" activeCell="D24" sqref="D24"/>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8" width="18.85546875" style="3" customWidth="1"/>
    <col min="9" max="9" width="12.140625" style="57" customWidth="1"/>
    <col min="10" max="10" width="0.85546875" style="3" customWidth="1"/>
    <col min="11" max="16384" width="17" style="3" hidden="1"/>
  </cols>
  <sheetData>
    <row r="1" spans="1:10" ht="21" customHeight="1" x14ac:dyDescent="0.2">
      <c r="A1" s="2"/>
      <c r="B1" s="445" t="s">
        <v>29</v>
      </c>
      <c r="C1" s="446"/>
      <c r="D1" s="2"/>
      <c r="E1" s="2"/>
      <c r="F1" s="2"/>
      <c r="G1" s="2"/>
      <c r="H1" s="2"/>
      <c r="I1" s="56"/>
      <c r="J1" s="56"/>
    </row>
    <row r="2" spans="1:10" ht="15" customHeight="1" x14ac:dyDescent="0.2"/>
    <row r="3" spans="1:10" ht="15" customHeight="1" x14ac:dyDescent="0.25">
      <c r="E3" s="12" t="s">
        <v>37</v>
      </c>
      <c r="F3" s="186">
        <f>IF(COVER!E6&lt;&gt;"",COVER!E6,"")</f>
        <v>2021</v>
      </c>
    </row>
    <row r="4" spans="1:10" ht="15" customHeight="1" x14ac:dyDescent="0.2"/>
    <row r="5" spans="1:10" ht="20.25" customHeight="1" x14ac:dyDescent="0.2">
      <c r="B5" s="447" t="s">
        <v>4</v>
      </c>
      <c r="C5" s="448"/>
      <c r="D5" s="451" t="str">
        <f>IF(COVER!E8&lt;&gt;"",COVER!E8,"")</f>
        <v>POWER BLOX AFRICA, S.A.</v>
      </c>
      <c r="E5" s="374"/>
      <c r="F5" s="375"/>
    </row>
    <row r="6" spans="1:10" ht="15" customHeight="1" x14ac:dyDescent="0.2"/>
    <row r="7" spans="1:10" ht="15" customHeight="1" x14ac:dyDescent="0.2"/>
    <row r="8" spans="1:10" s="6" customFormat="1" ht="30.75" customHeight="1" x14ac:dyDescent="0.2">
      <c r="B8" s="376" t="s">
        <v>176</v>
      </c>
      <c r="C8" s="376"/>
      <c r="D8" s="377"/>
      <c r="E8" s="377"/>
      <c r="F8" s="377"/>
      <c r="G8" s="377"/>
      <c r="H8" s="377"/>
      <c r="I8" s="377"/>
    </row>
    <row r="9" spans="1:10" ht="15" customHeight="1" x14ac:dyDescent="0.2">
      <c r="H9" s="122" t="s">
        <v>432</v>
      </c>
      <c r="I9" s="121" t="str">
        <f>IF(COVER!$K$6&lt;&gt;"",CONCATENATE("milhares ",COVER!$K$6),"")</f>
        <v>milhares MZN</v>
      </c>
    </row>
    <row r="10" spans="1:10" s="31" customFormat="1" ht="31.5" customHeight="1" x14ac:dyDescent="0.2">
      <c r="B10" s="67"/>
      <c r="C10" s="102"/>
      <c r="D10" s="68">
        <f>IF(E10&lt;&gt;"",E10-1,"")</f>
        <v>2017</v>
      </c>
      <c r="E10" s="68">
        <f>IF(F10&lt;&gt;"",F10-1,"")</f>
        <v>2018</v>
      </c>
      <c r="F10" s="68">
        <f>IF(G10&lt;&gt;"",G10-1,"")</f>
        <v>2019</v>
      </c>
      <c r="G10" s="68">
        <f>IF(H10&lt;&gt;"",H10-1,"")</f>
        <v>2020</v>
      </c>
      <c r="H10" s="69">
        <f>$F$3</f>
        <v>2021</v>
      </c>
      <c r="I10" s="70" t="str">
        <f>IF(AND(G10&lt;&gt;"",H10&lt;&gt;""),CONCATENATE("Variação % (",H10,"/",G10,")"),"")</f>
        <v>Variação % (2021/2020)</v>
      </c>
    </row>
    <row r="11" spans="1:10" ht="15" customHeight="1" x14ac:dyDescent="0.2">
      <c r="B11" s="71"/>
    </row>
    <row r="12" spans="1:10" ht="21" customHeight="1" x14ac:dyDescent="0.2">
      <c r="B12" s="370" t="s">
        <v>422</v>
      </c>
      <c r="C12" s="370"/>
      <c r="D12" s="371"/>
      <c r="E12" s="371"/>
      <c r="F12" s="371"/>
      <c r="G12" s="371"/>
      <c r="H12" s="371"/>
      <c r="I12" s="372"/>
    </row>
    <row r="13" spans="1:10" ht="15" customHeight="1" x14ac:dyDescent="0.2">
      <c r="B13" s="72"/>
      <c r="C13" s="51"/>
      <c r="D13" s="91"/>
      <c r="E13" s="91"/>
      <c r="F13" s="91"/>
      <c r="G13" s="91"/>
      <c r="H13" s="107"/>
      <c r="I13" s="215"/>
    </row>
    <row r="14" spans="1:10" ht="15" customHeight="1" x14ac:dyDescent="0.25">
      <c r="B14" s="73" t="s">
        <v>177</v>
      </c>
      <c r="C14" s="53" t="s">
        <v>178</v>
      </c>
      <c r="D14" s="211">
        <f>SUM(D15:D17)</f>
        <v>0</v>
      </c>
      <c r="E14" s="211">
        <f>SUM(E15:E17)</f>
        <v>0</v>
      </c>
      <c r="F14" s="211">
        <f>SUM(F15:F17)</f>
        <v>0</v>
      </c>
      <c r="G14" s="211">
        <f>SUM(G15:G17)</f>
        <v>0</v>
      </c>
      <c r="H14" s="112">
        <f>SUM(H15:H17)</f>
        <v>0</v>
      </c>
      <c r="I14" s="212" t="str">
        <f>IFERROR(IF(AND(G14&lt;0,H14&lt;=0),-(H14-G14)/G14,IF(AND(G14&lt;0,H14&gt;0),-(H14-G14)/G14,(H14-G14)/G14)),"")</f>
        <v/>
      </c>
    </row>
    <row r="15" spans="1:10" ht="15" customHeight="1" x14ac:dyDescent="0.25">
      <c r="B15" s="74" t="s">
        <v>179</v>
      </c>
      <c r="C15" s="52" t="s">
        <v>180</v>
      </c>
      <c r="D15" s="205"/>
      <c r="E15" s="205"/>
      <c r="F15" s="205"/>
      <c r="G15" s="205"/>
      <c r="H15" s="206"/>
      <c r="I15" s="216" t="str">
        <f t="shared" ref="I15:I74" si="0">IFERROR(IF(AND(G15&lt;0,H15&lt;=0),-(H15-G15)/G15,IF(AND(G15&lt;0,H15&gt;0),-(H15-G15)/G15,(H15-G15)/G15)),"")</f>
        <v/>
      </c>
    </row>
    <row r="16" spans="1:10" ht="15" customHeight="1" x14ac:dyDescent="0.25">
      <c r="B16" s="77" t="s">
        <v>181</v>
      </c>
      <c r="C16" s="48" t="s">
        <v>182</v>
      </c>
      <c r="D16" s="207"/>
      <c r="E16" s="207"/>
      <c r="F16" s="207"/>
      <c r="G16" s="207"/>
      <c r="H16" s="208"/>
      <c r="I16" s="214" t="str">
        <f t="shared" si="0"/>
        <v/>
      </c>
    </row>
    <row r="17" spans="2:26" ht="15" customHeight="1" x14ac:dyDescent="0.2">
      <c r="B17" s="210"/>
      <c r="C17" s="209"/>
      <c r="D17" s="207"/>
      <c r="E17" s="207"/>
      <c r="F17" s="207"/>
      <c r="G17" s="207"/>
      <c r="H17" s="208"/>
      <c r="I17" s="214" t="str">
        <f t="shared" si="0"/>
        <v/>
      </c>
    </row>
    <row r="18" spans="2:26" ht="15" customHeight="1" x14ac:dyDescent="0.2">
      <c r="B18" s="73" t="s">
        <v>183</v>
      </c>
      <c r="C18" s="53" t="s">
        <v>184</v>
      </c>
      <c r="D18" s="211">
        <f>SUM(D19:D29)</f>
        <v>0</v>
      </c>
      <c r="E18" s="211">
        <f t="shared" ref="E18:H18" si="1">SUM(E19:E29)</f>
        <v>0</v>
      </c>
      <c r="F18" s="211">
        <f t="shared" si="1"/>
        <v>0</v>
      </c>
      <c r="G18" s="211">
        <f t="shared" si="1"/>
        <v>0</v>
      </c>
      <c r="H18" s="112">
        <f t="shared" si="1"/>
        <v>4935151.17</v>
      </c>
      <c r="I18" s="212" t="str">
        <f t="shared" si="0"/>
        <v/>
      </c>
    </row>
    <row r="19" spans="2:26" ht="15" customHeight="1" x14ac:dyDescent="0.25">
      <c r="B19" s="77" t="s">
        <v>185</v>
      </c>
      <c r="C19" s="48" t="s">
        <v>186</v>
      </c>
      <c r="D19" s="207"/>
      <c r="E19" s="207"/>
      <c r="F19" s="207"/>
      <c r="G19" s="207"/>
      <c r="H19" s="208"/>
      <c r="I19" s="214" t="str">
        <f t="shared" si="0"/>
        <v/>
      </c>
    </row>
    <row r="20" spans="2:26" ht="15" customHeight="1" x14ac:dyDescent="0.25">
      <c r="B20" s="77" t="s">
        <v>187</v>
      </c>
      <c r="C20" s="48" t="s">
        <v>188</v>
      </c>
      <c r="D20" s="207"/>
      <c r="E20" s="207"/>
      <c r="F20" s="207"/>
      <c r="G20" s="207"/>
      <c r="H20" s="208">
        <v>4744896.8499999996</v>
      </c>
      <c r="I20" s="214" t="str">
        <f t="shared" si="0"/>
        <v/>
      </c>
    </row>
    <row r="21" spans="2:26" ht="15" customHeight="1" x14ac:dyDescent="0.25">
      <c r="B21" s="77" t="s">
        <v>189</v>
      </c>
      <c r="C21" s="48" t="s">
        <v>190</v>
      </c>
      <c r="D21" s="207"/>
      <c r="E21" s="207"/>
      <c r="F21" s="207"/>
      <c r="G21" s="207"/>
      <c r="H21" s="208">
        <v>190254.32</v>
      </c>
      <c r="I21" s="214" t="str">
        <f t="shared" si="0"/>
        <v/>
      </c>
    </row>
    <row r="22" spans="2:26" ht="15" customHeight="1" x14ac:dyDescent="0.25">
      <c r="B22" s="77" t="s">
        <v>191</v>
      </c>
      <c r="C22" s="48" t="s">
        <v>192</v>
      </c>
      <c r="D22" s="207"/>
      <c r="E22" s="207"/>
      <c r="F22" s="207"/>
      <c r="G22" s="207"/>
      <c r="H22" s="208"/>
      <c r="I22" s="214" t="str">
        <f t="shared" si="0"/>
        <v/>
      </c>
    </row>
    <row r="23" spans="2:26" ht="15" customHeight="1" x14ac:dyDescent="0.2">
      <c r="B23" s="77" t="s">
        <v>193</v>
      </c>
      <c r="C23" s="48" t="s">
        <v>194</v>
      </c>
      <c r="D23" s="207"/>
      <c r="E23" s="207"/>
      <c r="F23" s="207"/>
      <c r="G23" s="207"/>
      <c r="H23" s="208"/>
      <c r="I23" s="214" t="str">
        <f t="shared" si="0"/>
        <v/>
      </c>
    </row>
    <row r="24" spans="2:26" ht="15" customHeight="1" x14ac:dyDescent="0.2">
      <c r="B24" s="77" t="s">
        <v>195</v>
      </c>
      <c r="C24" s="48" t="s">
        <v>196</v>
      </c>
      <c r="D24" s="207"/>
      <c r="E24" s="207"/>
      <c r="F24" s="207"/>
      <c r="G24" s="207"/>
      <c r="H24" s="208"/>
      <c r="I24" s="214" t="str">
        <f t="shared" si="0"/>
        <v/>
      </c>
    </row>
    <row r="25" spans="2:26" ht="15" customHeight="1" x14ac:dyDescent="0.25">
      <c r="B25" s="77" t="s">
        <v>197</v>
      </c>
      <c r="C25" s="48" t="s">
        <v>198</v>
      </c>
      <c r="D25" s="207"/>
      <c r="E25" s="207"/>
      <c r="F25" s="207"/>
      <c r="G25" s="207"/>
      <c r="H25" s="208"/>
      <c r="I25" s="214" t="str">
        <f t="shared" si="0"/>
        <v/>
      </c>
    </row>
    <row r="26" spans="2:26" ht="15" customHeight="1" x14ac:dyDescent="0.25">
      <c r="B26" s="77" t="s">
        <v>199</v>
      </c>
      <c r="C26" s="48" t="s">
        <v>200</v>
      </c>
      <c r="D26" s="207"/>
      <c r="E26" s="207"/>
      <c r="F26" s="207"/>
      <c r="G26" s="207"/>
      <c r="H26" s="208"/>
      <c r="I26" s="214" t="str">
        <f t="shared" si="0"/>
        <v/>
      </c>
    </row>
    <row r="27" spans="2:26" ht="15" customHeight="1" x14ac:dyDescent="0.25">
      <c r="B27" s="77" t="s">
        <v>201</v>
      </c>
      <c r="C27" s="48" t="s">
        <v>202</v>
      </c>
      <c r="D27" s="207"/>
      <c r="E27" s="207"/>
      <c r="F27" s="207"/>
      <c r="G27" s="207"/>
      <c r="H27" s="208"/>
      <c r="I27" s="214" t="str">
        <f t="shared" si="0"/>
        <v/>
      </c>
    </row>
    <row r="28" spans="2:26" ht="15" customHeight="1" x14ac:dyDescent="0.25">
      <c r="B28" s="210"/>
      <c r="C28" s="209"/>
      <c r="D28" s="207"/>
      <c r="E28" s="207"/>
      <c r="F28" s="207"/>
      <c r="G28" s="207"/>
      <c r="H28" s="208"/>
      <c r="I28" s="214" t="str">
        <f t="shared" si="0"/>
        <v/>
      </c>
    </row>
    <row r="29" spans="2:26" ht="15" customHeight="1" x14ac:dyDescent="0.25">
      <c r="B29" s="210"/>
      <c r="C29" s="209"/>
      <c r="D29" s="207"/>
      <c r="E29" s="207"/>
      <c r="F29" s="207"/>
      <c r="G29" s="207"/>
      <c r="H29" s="208"/>
      <c r="I29" s="214" t="str">
        <f t="shared" si="0"/>
        <v/>
      </c>
    </row>
    <row r="30" spans="2:26" ht="15" customHeight="1" x14ac:dyDescent="0.25">
      <c r="B30" s="73" t="s">
        <v>203</v>
      </c>
      <c r="C30" s="53" t="s">
        <v>204</v>
      </c>
      <c r="D30" s="211">
        <f>SUM(D31:D66)</f>
        <v>0</v>
      </c>
      <c r="E30" s="211">
        <f>SUM(E31:E66)</f>
        <v>0</v>
      </c>
      <c r="F30" s="211">
        <f>SUM(F31:F66)</f>
        <v>0</v>
      </c>
      <c r="G30" s="211">
        <f>SUM(G31:G66)</f>
        <v>0</v>
      </c>
      <c r="H30" s="112">
        <f>SUM(H31:H66)</f>
        <v>1778819.48</v>
      </c>
      <c r="I30" s="212" t="str">
        <f t="shared" si="0"/>
        <v/>
      </c>
    </row>
    <row r="31" spans="2:26" ht="15" customHeight="1" x14ac:dyDescent="0.25">
      <c r="B31" s="77" t="s">
        <v>205</v>
      </c>
      <c r="C31" s="48" t="s">
        <v>206</v>
      </c>
      <c r="D31" s="207"/>
      <c r="E31" s="207"/>
      <c r="F31" s="207"/>
      <c r="G31" s="207"/>
      <c r="H31" s="208"/>
      <c r="I31" s="214" t="str">
        <f t="shared" si="0"/>
        <v/>
      </c>
      <c r="K31" s="3">
        <f t="shared" ref="K31:K66" si="2">IF($H31=MAX($H$31:$H$66),"max1",H31)</f>
        <v>0</v>
      </c>
      <c r="L31" s="3">
        <f t="shared" ref="L31:L66" si="3">IF($K31=MAX($K$31:$K$66),"max2",K31)</f>
        <v>0</v>
      </c>
      <c r="M31" s="3">
        <f t="shared" ref="M31:M66" si="4">IF($L31=MAX($L$31:$L$66),"max3",L31)</f>
        <v>0</v>
      </c>
      <c r="N31" s="3">
        <f t="shared" ref="N31:N66" si="5">IF($M31=MAX($M$31:$M$66),"max4",M31)</f>
        <v>0</v>
      </c>
      <c r="O31" s="3">
        <f t="shared" ref="O31:O66" si="6">IF($N31=MAX($N$31:$N$66),"max5",N31)</f>
        <v>0</v>
      </c>
      <c r="P31" s="3">
        <f t="shared" ref="P31:P66" si="7">IF($O31=MAX($O$31:$O$66),"max6",O31)</f>
        <v>0</v>
      </c>
      <c r="Q31" s="3">
        <f t="shared" ref="Q31:Q66" si="8">IF($P31=MAX($P$31:$P$66),"max7",P31)</f>
        <v>0</v>
      </c>
      <c r="R31" s="3">
        <f t="shared" ref="R31:R66" si="9">IF($Q31=MAX($Q$31:$Q$66),"max8",Q31)</f>
        <v>0</v>
      </c>
      <c r="S31" s="3">
        <f t="shared" ref="S31:S66" si="10">IF($R31=MAX($R$31:$R$66),"max9",R31)</f>
        <v>0</v>
      </c>
      <c r="T31" s="3">
        <f t="shared" ref="T31:T66" si="11">IF($S31=MAX($S$31:$S$66),"max10",S31)</f>
        <v>0</v>
      </c>
      <c r="U31" s="3">
        <f t="shared" ref="U31:U66" si="12">IF($T31=MAX($T$31:$T$66),"max11",T31)</f>
        <v>0</v>
      </c>
      <c r="V31" s="3">
        <f t="shared" ref="V31:V66" si="13">IF($U31=MAX($U$31:$U$66),"max12",U31)</f>
        <v>0</v>
      </c>
      <c r="W31" s="3">
        <f>IF($V31=MAX($V$31:$V$66),"max13",V31)</f>
        <v>0</v>
      </c>
      <c r="X31" s="3">
        <f>IF($W31=MAX($W$31:$W$66),"max14",W31)</f>
        <v>0</v>
      </c>
      <c r="Y31" s="3">
        <f>IF($X31=MAX($X$31:$X$66),"max15",X31)</f>
        <v>0</v>
      </c>
      <c r="Z31" s="3" t="str">
        <f>IF($H$30=0,0,IF(LEFT(Y31,3)="max",Y31,"Outro"))</f>
        <v>Outro</v>
      </c>
    </row>
    <row r="32" spans="2:26" ht="15" customHeight="1" x14ac:dyDescent="0.25">
      <c r="B32" s="77" t="s">
        <v>207</v>
      </c>
      <c r="C32" s="48" t="s">
        <v>208</v>
      </c>
      <c r="D32" s="207"/>
      <c r="E32" s="207"/>
      <c r="F32" s="207"/>
      <c r="G32" s="207"/>
      <c r="H32" s="208"/>
      <c r="I32" s="214" t="str">
        <f t="shared" si="0"/>
        <v/>
      </c>
      <c r="K32" s="3">
        <f t="shared" si="2"/>
        <v>0</v>
      </c>
      <c r="L32" s="3">
        <f t="shared" si="3"/>
        <v>0</v>
      </c>
      <c r="M32" s="3">
        <f t="shared" si="4"/>
        <v>0</v>
      </c>
      <c r="N32" s="3">
        <f t="shared" si="5"/>
        <v>0</v>
      </c>
      <c r="O32" s="3">
        <f t="shared" si="6"/>
        <v>0</v>
      </c>
      <c r="P32" s="3">
        <f t="shared" si="7"/>
        <v>0</v>
      </c>
      <c r="Q32" s="3">
        <f t="shared" si="8"/>
        <v>0</v>
      </c>
      <c r="R32" s="3">
        <f t="shared" si="9"/>
        <v>0</v>
      </c>
      <c r="S32" s="3">
        <f t="shared" si="10"/>
        <v>0</v>
      </c>
      <c r="T32" s="3">
        <f t="shared" si="11"/>
        <v>0</v>
      </c>
      <c r="U32" s="3">
        <f t="shared" si="12"/>
        <v>0</v>
      </c>
      <c r="V32" s="3">
        <f t="shared" si="13"/>
        <v>0</v>
      </c>
      <c r="W32" s="3">
        <f t="shared" ref="W32:W66" si="14">IF($V32=MAX($V$31:$V$66),"max13",V32)</f>
        <v>0</v>
      </c>
      <c r="X32" s="3">
        <f t="shared" ref="X32:X66" si="15">IF($W32=MAX($W$31:$W$66),"max14",W32)</f>
        <v>0</v>
      </c>
      <c r="Y32" s="3">
        <f t="shared" ref="Y32:Y66" si="16">IF($X32=MAX($X$31:$X$66),"max15",X32)</f>
        <v>0</v>
      </c>
      <c r="Z32" s="3" t="str">
        <f>IF($H$30=0,0,IF(LEFT(Y32,3)="max",Y32,"Outro"))</f>
        <v>Outro</v>
      </c>
    </row>
    <row r="33" spans="2:26" ht="15" customHeight="1" x14ac:dyDescent="0.25">
      <c r="B33" s="77" t="s">
        <v>209</v>
      </c>
      <c r="C33" s="48" t="s">
        <v>210</v>
      </c>
      <c r="D33" s="207"/>
      <c r="E33" s="207"/>
      <c r="F33" s="207"/>
      <c r="G33" s="207"/>
      <c r="H33" s="208">
        <v>9046.51</v>
      </c>
      <c r="I33" s="214" t="str">
        <f t="shared" si="0"/>
        <v/>
      </c>
      <c r="K33" s="3">
        <f t="shared" si="2"/>
        <v>9046.51</v>
      </c>
      <c r="L33" s="3">
        <f t="shared" si="3"/>
        <v>9046.51</v>
      </c>
      <c r="M33" s="3">
        <f t="shared" si="4"/>
        <v>9046.51</v>
      </c>
      <c r="N33" s="3">
        <f t="shared" si="5"/>
        <v>9046.51</v>
      </c>
      <c r="O33" s="3">
        <f t="shared" si="6"/>
        <v>9046.51</v>
      </c>
      <c r="P33" s="3">
        <f t="shared" si="7"/>
        <v>9046.51</v>
      </c>
      <c r="Q33" s="3">
        <f t="shared" si="8"/>
        <v>9046.51</v>
      </c>
      <c r="R33" s="3">
        <f t="shared" si="9"/>
        <v>9046.51</v>
      </c>
      <c r="S33" s="3">
        <f t="shared" si="10"/>
        <v>9046.51</v>
      </c>
      <c r="T33" s="3">
        <f t="shared" si="11"/>
        <v>9046.51</v>
      </c>
      <c r="U33" s="3">
        <f t="shared" si="12"/>
        <v>9046.51</v>
      </c>
      <c r="V33" s="3" t="str">
        <f t="shared" si="13"/>
        <v>max12</v>
      </c>
      <c r="W33" s="3" t="str">
        <f t="shared" si="14"/>
        <v>max12</v>
      </c>
      <c r="X33" s="3" t="str">
        <f t="shared" si="15"/>
        <v>max12</v>
      </c>
      <c r="Y33" s="3" t="str">
        <f t="shared" si="16"/>
        <v>max12</v>
      </c>
      <c r="Z33" s="3" t="str">
        <f>IF($H$30=0,0,IF(LEFT(Y33,3)="max",Y33,"Outro"))</f>
        <v>max12</v>
      </c>
    </row>
    <row r="34" spans="2:26" ht="15" customHeight="1" x14ac:dyDescent="0.25">
      <c r="B34" s="77" t="s">
        <v>211</v>
      </c>
      <c r="C34" s="48" t="s">
        <v>212</v>
      </c>
      <c r="D34" s="207"/>
      <c r="E34" s="207"/>
      <c r="F34" s="207"/>
      <c r="G34" s="207"/>
      <c r="H34" s="208">
        <v>119613.19</v>
      </c>
      <c r="I34" s="214" t="str">
        <f t="shared" si="0"/>
        <v/>
      </c>
      <c r="K34" s="3">
        <f t="shared" si="2"/>
        <v>119613.19</v>
      </c>
      <c r="L34" s="3">
        <f t="shared" si="3"/>
        <v>119613.19</v>
      </c>
      <c r="M34" s="3">
        <f t="shared" si="4"/>
        <v>119613.19</v>
      </c>
      <c r="N34" s="3">
        <f t="shared" si="5"/>
        <v>119613.19</v>
      </c>
      <c r="O34" s="3" t="str">
        <f t="shared" si="6"/>
        <v>max5</v>
      </c>
      <c r="P34" s="3" t="str">
        <f t="shared" si="7"/>
        <v>max5</v>
      </c>
      <c r="Q34" s="3" t="str">
        <f t="shared" si="8"/>
        <v>max5</v>
      </c>
      <c r="R34" s="3" t="str">
        <f t="shared" si="9"/>
        <v>max5</v>
      </c>
      <c r="S34" s="3" t="str">
        <f t="shared" si="10"/>
        <v>max5</v>
      </c>
      <c r="T34" s="3" t="str">
        <f t="shared" si="11"/>
        <v>max5</v>
      </c>
      <c r="U34" s="3" t="str">
        <f t="shared" si="12"/>
        <v>max5</v>
      </c>
      <c r="V34" s="3" t="str">
        <f t="shared" si="13"/>
        <v>max5</v>
      </c>
      <c r="W34" s="3" t="str">
        <f t="shared" si="14"/>
        <v>max5</v>
      </c>
      <c r="X34" s="3" t="str">
        <f t="shared" si="15"/>
        <v>max5</v>
      </c>
      <c r="Y34" s="3" t="str">
        <f t="shared" si="16"/>
        <v>max5</v>
      </c>
      <c r="Z34" s="3" t="str">
        <f>IF($H$30=0,0,IF(LEFT(Y34,3)="max",Y34,"Outro"))</f>
        <v>max5</v>
      </c>
    </row>
    <row r="35" spans="2:26" ht="15" customHeight="1" x14ac:dyDescent="0.25">
      <c r="B35" s="77" t="s">
        <v>213</v>
      </c>
      <c r="C35" s="48" t="s">
        <v>453</v>
      </c>
      <c r="D35" s="207"/>
      <c r="E35" s="207"/>
      <c r="F35" s="207"/>
      <c r="G35" s="207"/>
      <c r="H35" s="208">
        <v>27178.880000000001</v>
      </c>
      <c r="I35" s="214" t="str">
        <f t="shared" si="0"/>
        <v/>
      </c>
      <c r="K35" s="3">
        <f t="shared" si="2"/>
        <v>27178.880000000001</v>
      </c>
      <c r="L35" s="3">
        <f t="shared" si="3"/>
        <v>27178.880000000001</v>
      </c>
      <c r="M35" s="3">
        <f t="shared" si="4"/>
        <v>27178.880000000001</v>
      </c>
      <c r="N35" s="3">
        <f t="shared" si="5"/>
        <v>27178.880000000001</v>
      </c>
      <c r="O35" s="3">
        <f t="shared" si="6"/>
        <v>27178.880000000001</v>
      </c>
      <c r="P35" s="3">
        <f t="shared" si="7"/>
        <v>27178.880000000001</v>
      </c>
      <c r="Q35" s="3">
        <f t="shared" si="8"/>
        <v>27178.880000000001</v>
      </c>
      <c r="R35" s="3" t="str">
        <f t="shared" si="9"/>
        <v>max8</v>
      </c>
      <c r="S35" s="3" t="str">
        <f t="shared" si="10"/>
        <v>max8</v>
      </c>
      <c r="T35" s="3" t="str">
        <f t="shared" si="11"/>
        <v>max8</v>
      </c>
      <c r="U35" s="3" t="str">
        <f t="shared" si="12"/>
        <v>max8</v>
      </c>
      <c r="V35" s="3" t="str">
        <f t="shared" si="13"/>
        <v>max8</v>
      </c>
      <c r="W35" s="3" t="str">
        <f t="shared" si="14"/>
        <v>max8</v>
      </c>
      <c r="X35" s="3" t="str">
        <f t="shared" si="15"/>
        <v>max8</v>
      </c>
      <c r="Y35" s="3" t="str">
        <f t="shared" si="16"/>
        <v>max8</v>
      </c>
      <c r="Z35" s="3" t="str">
        <f t="shared" ref="Z35:Z66" si="17">IF($H$30=0,0,IF(LEFT(Y35,3)="max",Y35,"Outro"))</f>
        <v>max8</v>
      </c>
    </row>
    <row r="36" spans="2:26" ht="15" customHeight="1" x14ac:dyDescent="0.25">
      <c r="B36" s="77" t="s">
        <v>214</v>
      </c>
      <c r="C36" s="48" t="s">
        <v>215</v>
      </c>
      <c r="D36" s="207"/>
      <c r="E36" s="207"/>
      <c r="F36" s="207"/>
      <c r="G36" s="207"/>
      <c r="H36" s="208">
        <v>830</v>
      </c>
      <c r="I36" s="214" t="str">
        <f t="shared" si="0"/>
        <v/>
      </c>
      <c r="K36" s="3">
        <f t="shared" si="2"/>
        <v>830</v>
      </c>
      <c r="L36" s="3">
        <f t="shared" si="3"/>
        <v>830</v>
      </c>
      <c r="M36" s="3">
        <f t="shared" si="4"/>
        <v>830</v>
      </c>
      <c r="N36" s="3">
        <f t="shared" si="5"/>
        <v>830</v>
      </c>
      <c r="O36" s="3">
        <f t="shared" si="6"/>
        <v>830</v>
      </c>
      <c r="P36" s="3">
        <f t="shared" si="7"/>
        <v>830</v>
      </c>
      <c r="Q36" s="3">
        <f t="shared" si="8"/>
        <v>830</v>
      </c>
      <c r="R36" s="3">
        <f t="shared" si="9"/>
        <v>830</v>
      </c>
      <c r="S36" s="3">
        <f t="shared" si="10"/>
        <v>830</v>
      </c>
      <c r="T36" s="3">
        <f t="shared" si="11"/>
        <v>830</v>
      </c>
      <c r="U36" s="3">
        <f t="shared" si="12"/>
        <v>830</v>
      </c>
      <c r="V36" s="3">
        <f t="shared" si="13"/>
        <v>830</v>
      </c>
      <c r="W36" s="3">
        <f t="shared" si="14"/>
        <v>830</v>
      </c>
      <c r="X36" s="3">
        <f t="shared" si="15"/>
        <v>830</v>
      </c>
      <c r="Y36" s="3" t="str">
        <f t="shared" si="16"/>
        <v>max15</v>
      </c>
      <c r="Z36" s="3" t="str">
        <f t="shared" si="17"/>
        <v>max15</v>
      </c>
    </row>
    <row r="37" spans="2:26" ht="15" customHeight="1" x14ac:dyDescent="0.25">
      <c r="B37" s="77" t="s">
        <v>216</v>
      </c>
      <c r="C37" s="48" t="s">
        <v>217</v>
      </c>
      <c r="D37" s="207"/>
      <c r="E37" s="207"/>
      <c r="F37" s="207"/>
      <c r="G37" s="207"/>
      <c r="H37" s="208">
        <v>15822.36</v>
      </c>
      <c r="I37" s="214" t="str">
        <f t="shared" si="0"/>
        <v/>
      </c>
      <c r="K37" s="3">
        <f t="shared" si="2"/>
        <v>15822.36</v>
      </c>
      <c r="L37" s="3">
        <f t="shared" si="3"/>
        <v>15822.36</v>
      </c>
      <c r="M37" s="3">
        <f t="shared" si="4"/>
        <v>15822.36</v>
      </c>
      <c r="N37" s="3">
        <f t="shared" si="5"/>
        <v>15822.36</v>
      </c>
      <c r="O37" s="3">
        <f t="shared" si="6"/>
        <v>15822.36</v>
      </c>
      <c r="P37" s="3">
        <f t="shared" si="7"/>
        <v>15822.36</v>
      </c>
      <c r="Q37" s="3">
        <f t="shared" si="8"/>
        <v>15822.36</v>
      </c>
      <c r="R37" s="3">
        <f t="shared" si="9"/>
        <v>15822.36</v>
      </c>
      <c r="S37" s="3">
        <f t="shared" si="10"/>
        <v>15822.36</v>
      </c>
      <c r="T37" s="3" t="str">
        <f t="shared" si="11"/>
        <v>max10</v>
      </c>
      <c r="U37" s="3" t="str">
        <f t="shared" si="12"/>
        <v>max10</v>
      </c>
      <c r="V37" s="3" t="str">
        <f t="shared" si="13"/>
        <v>max10</v>
      </c>
      <c r="W37" s="3" t="str">
        <f t="shared" si="14"/>
        <v>max10</v>
      </c>
      <c r="X37" s="3" t="str">
        <f t="shared" si="15"/>
        <v>max10</v>
      </c>
      <c r="Y37" s="3" t="str">
        <f t="shared" si="16"/>
        <v>max10</v>
      </c>
      <c r="Z37" s="3" t="str">
        <f t="shared" si="17"/>
        <v>max10</v>
      </c>
    </row>
    <row r="38" spans="2:26" ht="15" customHeight="1" x14ac:dyDescent="0.25">
      <c r="B38" s="77" t="s">
        <v>218</v>
      </c>
      <c r="C38" s="48" t="s">
        <v>451</v>
      </c>
      <c r="D38" s="207"/>
      <c r="E38" s="207"/>
      <c r="F38" s="207"/>
      <c r="G38" s="207"/>
      <c r="H38" s="208">
        <v>25000</v>
      </c>
      <c r="I38" s="214" t="str">
        <f t="shared" si="0"/>
        <v/>
      </c>
      <c r="K38" s="3">
        <f t="shared" si="2"/>
        <v>25000</v>
      </c>
      <c r="L38" s="3">
        <f t="shared" si="3"/>
        <v>25000</v>
      </c>
      <c r="M38" s="3">
        <f t="shared" si="4"/>
        <v>25000</v>
      </c>
      <c r="N38" s="3">
        <f t="shared" si="5"/>
        <v>25000</v>
      </c>
      <c r="O38" s="3">
        <f t="shared" si="6"/>
        <v>25000</v>
      </c>
      <c r="P38" s="3">
        <f t="shared" si="7"/>
        <v>25000</v>
      </c>
      <c r="Q38" s="3">
        <f t="shared" si="8"/>
        <v>25000</v>
      </c>
      <c r="R38" s="3">
        <f t="shared" si="9"/>
        <v>25000</v>
      </c>
      <c r="S38" s="3" t="str">
        <f t="shared" si="10"/>
        <v>max9</v>
      </c>
      <c r="T38" s="3" t="str">
        <f t="shared" si="11"/>
        <v>max9</v>
      </c>
      <c r="U38" s="3" t="str">
        <f t="shared" si="12"/>
        <v>max9</v>
      </c>
      <c r="V38" s="3" t="str">
        <f t="shared" si="13"/>
        <v>max9</v>
      </c>
      <c r="W38" s="3" t="str">
        <f t="shared" si="14"/>
        <v>max9</v>
      </c>
      <c r="X38" s="3" t="str">
        <f t="shared" si="15"/>
        <v>max9</v>
      </c>
      <c r="Y38" s="3" t="str">
        <f t="shared" si="16"/>
        <v>max9</v>
      </c>
      <c r="Z38" s="3" t="str">
        <f t="shared" si="17"/>
        <v>max9</v>
      </c>
    </row>
    <row r="39" spans="2:26" ht="15" customHeight="1" x14ac:dyDescent="0.25">
      <c r="B39" s="77" t="s">
        <v>219</v>
      </c>
      <c r="C39" s="48" t="s">
        <v>220</v>
      </c>
      <c r="D39" s="207"/>
      <c r="E39" s="207"/>
      <c r="F39" s="207"/>
      <c r="G39" s="207"/>
      <c r="H39" s="208"/>
      <c r="I39" s="214" t="str">
        <f t="shared" si="0"/>
        <v/>
      </c>
      <c r="K39" s="3">
        <f t="shared" si="2"/>
        <v>0</v>
      </c>
      <c r="L39" s="3">
        <f t="shared" si="3"/>
        <v>0</v>
      </c>
      <c r="M39" s="3">
        <f t="shared" si="4"/>
        <v>0</v>
      </c>
      <c r="N39" s="3">
        <f t="shared" si="5"/>
        <v>0</v>
      </c>
      <c r="O39" s="3">
        <f t="shared" si="6"/>
        <v>0</v>
      </c>
      <c r="P39" s="3">
        <f t="shared" si="7"/>
        <v>0</v>
      </c>
      <c r="Q39" s="3">
        <f t="shared" si="8"/>
        <v>0</v>
      </c>
      <c r="R39" s="3">
        <f t="shared" si="9"/>
        <v>0</v>
      </c>
      <c r="S39" s="3">
        <f t="shared" si="10"/>
        <v>0</v>
      </c>
      <c r="T39" s="3">
        <f t="shared" si="11"/>
        <v>0</v>
      </c>
      <c r="U39" s="3">
        <f t="shared" si="12"/>
        <v>0</v>
      </c>
      <c r="V39" s="3">
        <f t="shared" si="13"/>
        <v>0</v>
      </c>
      <c r="W39" s="3">
        <f t="shared" si="14"/>
        <v>0</v>
      </c>
      <c r="X39" s="3">
        <f t="shared" si="15"/>
        <v>0</v>
      </c>
      <c r="Y39" s="3">
        <f t="shared" si="16"/>
        <v>0</v>
      </c>
      <c r="Z39" s="3" t="str">
        <f t="shared" si="17"/>
        <v>Outro</v>
      </c>
    </row>
    <row r="40" spans="2:26" ht="15" customHeight="1" x14ac:dyDescent="0.25">
      <c r="B40" s="77" t="s">
        <v>221</v>
      </c>
      <c r="C40" s="209"/>
      <c r="D40" s="207"/>
      <c r="E40" s="207"/>
      <c r="F40" s="207"/>
      <c r="G40" s="207"/>
      <c r="H40" s="208"/>
      <c r="I40" s="214" t="str">
        <f t="shared" si="0"/>
        <v/>
      </c>
      <c r="K40" s="3">
        <f t="shared" si="2"/>
        <v>0</v>
      </c>
      <c r="L40" s="3">
        <f t="shared" si="3"/>
        <v>0</v>
      </c>
      <c r="M40" s="3">
        <f t="shared" si="4"/>
        <v>0</v>
      </c>
      <c r="N40" s="3">
        <f t="shared" si="5"/>
        <v>0</v>
      </c>
      <c r="O40" s="3">
        <f t="shared" si="6"/>
        <v>0</v>
      </c>
      <c r="P40" s="3">
        <f t="shared" si="7"/>
        <v>0</v>
      </c>
      <c r="Q40" s="3">
        <f t="shared" si="8"/>
        <v>0</v>
      </c>
      <c r="R40" s="3">
        <f t="shared" si="9"/>
        <v>0</v>
      </c>
      <c r="S40" s="3">
        <f t="shared" si="10"/>
        <v>0</v>
      </c>
      <c r="T40" s="3">
        <f t="shared" si="11"/>
        <v>0</v>
      </c>
      <c r="U40" s="3">
        <f t="shared" si="12"/>
        <v>0</v>
      </c>
      <c r="V40" s="3">
        <f t="shared" si="13"/>
        <v>0</v>
      </c>
      <c r="W40" s="3">
        <f t="shared" si="14"/>
        <v>0</v>
      </c>
      <c r="X40" s="3">
        <f t="shared" si="15"/>
        <v>0</v>
      </c>
      <c r="Y40" s="3">
        <f t="shared" si="16"/>
        <v>0</v>
      </c>
      <c r="Z40" s="3" t="str">
        <f t="shared" si="17"/>
        <v>Outro</v>
      </c>
    </row>
    <row r="41" spans="2:26" ht="15" customHeight="1" x14ac:dyDescent="0.25">
      <c r="B41" s="77" t="s">
        <v>222</v>
      </c>
      <c r="C41" s="48" t="s">
        <v>452</v>
      </c>
      <c r="D41" s="207"/>
      <c r="E41" s="207"/>
      <c r="F41" s="207"/>
      <c r="G41" s="207"/>
      <c r="H41" s="208">
        <v>131900</v>
      </c>
      <c r="I41" s="214" t="str">
        <f t="shared" si="0"/>
        <v/>
      </c>
      <c r="K41" s="3">
        <f t="shared" si="2"/>
        <v>131900</v>
      </c>
      <c r="L41" s="3">
        <f t="shared" si="3"/>
        <v>131900</v>
      </c>
      <c r="M41" s="3">
        <f t="shared" si="4"/>
        <v>131900</v>
      </c>
      <c r="N41" s="3" t="str">
        <f t="shared" si="5"/>
        <v>max4</v>
      </c>
      <c r="O41" s="3" t="str">
        <f t="shared" si="6"/>
        <v>max4</v>
      </c>
      <c r="P41" s="3" t="str">
        <f t="shared" si="7"/>
        <v>max4</v>
      </c>
      <c r="Q41" s="3" t="str">
        <f t="shared" si="8"/>
        <v>max4</v>
      </c>
      <c r="R41" s="3" t="str">
        <f t="shared" si="9"/>
        <v>max4</v>
      </c>
      <c r="S41" s="3" t="str">
        <f t="shared" si="10"/>
        <v>max4</v>
      </c>
      <c r="T41" s="3" t="str">
        <f t="shared" si="11"/>
        <v>max4</v>
      </c>
      <c r="U41" s="3" t="str">
        <f t="shared" si="12"/>
        <v>max4</v>
      </c>
      <c r="V41" s="3" t="str">
        <f t="shared" si="13"/>
        <v>max4</v>
      </c>
      <c r="W41" s="3" t="str">
        <f t="shared" si="14"/>
        <v>max4</v>
      </c>
      <c r="X41" s="3" t="str">
        <f t="shared" si="15"/>
        <v>max4</v>
      </c>
      <c r="Y41" s="3" t="str">
        <f t="shared" si="16"/>
        <v>max4</v>
      </c>
      <c r="Z41" s="3" t="str">
        <f t="shared" si="17"/>
        <v>max4</v>
      </c>
    </row>
    <row r="42" spans="2:26" ht="15" customHeight="1" x14ac:dyDescent="0.25">
      <c r="B42" s="77" t="s">
        <v>223</v>
      </c>
      <c r="C42" s="48" t="s">
        <v>224</v>
      </c>
      <c r="D42" s="207"/>
      <c r="E42" s="207"/>
      <c r="F42" s="207"/>
      <c r="G42" s="207"/>
      <c r="H42" s="208"/>
      <c r="I42" s="214" t="str">
        <f t="shared" si="0"/>
        <v/>
      </c>
      <c r="K42" s="3">
        <f t="shared" si="2"/>
        <v>0</v>
      </c>
      <c r="L42" s="3">
        <f t="shared" si="3"/>
        <v>0</v>
      </c>
      <c r="M42" s="3">
        <f t="shared" si="4"/>
        <v>0</v>
      </c>
      <c r="N42" s="3">
        <f t="shared" si="5"/>
        <v>0</v>
      </c>
      <c r="O42" s="3">
        <f t="shared" si="6"/>
        <v>0</v>
      </c>
      <c r="P42" s="3">
        <f t="shared" si="7"/>
        <v>0</v>
      </c>
      <c r="Q42" s="3">
        <f t="shared" si="8"/>
        <v>0</v>
      </c>
      <c r="R42" s="3">
        <f t="shared" si="9"/>
        <v>0</v>
      </c>
      <c r="S42" s="3">
        <f t="shared" si="10"/>
        <v>0</v>
      </c>
      <c r="T42" s="3">
        <f t="shared" si="11"/>
        <v>0</v>
      </c>
      <c r="U42" s="3">
        <f t="shared" si="12"/>
        <v>0</v>
      </c>
      <c r="V42" s="3">
        <f t="shared" si="13"/>
        <v>0</v>
      </c>
      <c r="W42" s="3">
        <f t="shared" si="14"/>
        <v>0</v>
      </c>
      <c r="X42" s="3">
        <f t="shared" si="15"/>
        <v>0</v>
      </c>
      <c r="Y42" s="3">
        <f t="shared" si="16"/>
        <v>0</v>
      </c>
      <c r="Z42" s="3" t="str">
        <f t="shared" si="17"/>
        <v>Outro</v>
      </c>
    </row>
    <row r="43" spans="2:26" ht="15" customHeight="1" x14ac:dyDescent="0.25">
      <c r="B43" s="77" t="s">
        <v>225</v>
      </c>
      <c r="C43" s="48" t="s">
        <v>226</v>
      </c>
      <c r="D43" s="207"/>
      <c r="E43" s="207"/>
      <c r="F43" s="207"/>
      <c r="G43" s="207"/>
      <c r="H43" s="208"/>
      <c r="I43" s="214" t="str">
        <f t="shared" si="0"/>
        <v/>
      </c>
      <c r="K43" s="3">
        <f t="shared" si="2"/>
        <v>0</v>
      </c>
      <c r="L43" s="3">
        <f t="shared" si="3"/>
        <v>0</v>
      </c>
      <c r="M43" s="3">
        <f t="shared" si="4"/>
        <v>0</v>
      </c>
      <c r="N43" s="3">
        <f t="shared" si="5"/>
        <v>0</v>
      </c>
      <c r="O43" s="3">
        <f t="shared" si="6"/>
        <v>0</v>
      </c>
      <c r="P43" s="3">
        <f t="shared" si="7"/>
        <v>0</v>
      </c>
      <c r="Q43" s="3">
        <f t="shared" si="8"/>
        <v>0</v>
      </c>
      <c r="R43" s="3">
        <f t="shared" si="9"/>
        <v>0</v>
      </c>
      <c r="S43" s="3">
        <f t="shared" si="10"/>
        <v>0</v>
      </c>
      <c r="T43" s="3">
        <f t="shared" si="11"/>
        <v>0</v>
      </c>
      <c r="U43" s="3">
        <f t="shared" si="12"/>
        <v>0</v>
      </c>
      <c r="V43" s="3">
        <f t="shared" si="13"/>
        <v>0</v>
      </c>
      <c r="W43" s="3">
        <f t="shared" si="14"/>
        <v>0</v>
      </c>
      <c r="X43" s="3">
        <f t="shared" si="15"/>
        <v>0</v>
      </c>
      <c r="Y43" s="3">
        <f t="shared" si="16"/>
        <v>0</v>
      </c>
      <c r="Z43" s="3" t="str">
        <f t="shared" si="17"/>
        <v>Outro</v>
      </c>
    </row>
    <row r="44" spans="2:26" ht="15" customHeight="1" x14ac:dyDescent="0.25">
      <c r="B44" s="77" t="s">
        <v>227</v>
      </c>
      <c r="C44" s="48" t="s">
        <v>228</v>
      </c>
      <c r="D44" s="207"/>
      <c r="E44" s="207"/>
      <c r="F44" s="207"/>
      <c r="G44" s="207"/>
      <c r="H44" s="208">
        <v>75463.05</v>
      </c>
      <c r="I44" s="214" t="str">
        <f t="shared" si="0"/>
        <v/>
      </c>
      <c r="K44" s="3">
        <f t="shared" si="2"/>
        <v>75463.05</v>
      </c>
      <c r="L44" s="3">
        <f t="shared" si="3"/>
        <v>75463.05</v>
      </c>
      <c r="M44" s="3">
        <f t="shared" si="4"/>
        <v>75463.05</v>
      </c>
      <c r="N44" s="3">
        <f t="shared" si="5"/>
        <v>75463.05</v>
      </c>
      <c r="O44" s="3">
        <f t="shared" si="6"/>
        <v>75463.05</v>
      </c>
      <c r="P44" s="3">
        <f t="shared" si="7"/>
        <v>75463.05</v>
      </c>
      <c r="Q44" s="3" t="str">
        <f t="shared" si="8"/>
        <v>max7</v>
      </c>
      <c r="R44" s="3" t="str">
        <f t="shared" si="9"/>
        <v>max7</v>
      </c>
      <c r="S44" s="3" t="str">
        <f t="shared" si="10"/>
        <v>max7</v>
      </c>
      <c r="T44" s="3" t="str">
        <f t="shared" si="11"/>
        <v>max7</v>
      </c>
      <c r="U44" s="3" t="str">
        <f t="shared" si="12"/>
        <v>max7</v>
      </c>
      <c r="V44" s="3" t="str">
        <f t="shared" si="13"/>
        <v>max7</v>
      </c>
      <c r="W44" s="3" t="str">
        <f t="shared" si="14"/>
        <v>max7</v>
      </c>
      <c r="X44" s="3" t="str">
        <f t="shared" si="15"/>
        <v>max7</v>
      </c>
      <c r="Y44" s="3" t="str">
        <f t="shared" si="16"/>
        <v>max7</v>
      </c>
      <c r="Z44" s="3" t="str">
        <f t="shared" si="17"/>
        <v>max7</v>
      </c>
    </row>
    <row r="45" spans="2:26" ht="15" customHeight="1" x14ac:dyDescent="0.25">
      <c r="B45" s="77" t="s">
        <v>229</v>
      </c>
      <c r="C45" s="48" t="s">
        <v>230</v>
      </c>
      <c r="D45" s="207"/>
      <c r="E45" s="207"/>
      <c r="F45" s="207"/>
      <c r="G45" s="207"/>
      <c r="H45" s="208"/>
      <c r="I45" s="214" t="str">
        <f t="shared" si="0"/>
        <v/>
      </c>
      <c r="K45" s="3">
        <f t="shared" si="2"/>
        <v>0</v>
      </c>
      <c r="L45" s="3">
        <f t="shared" si="3"/>
        <v>0</v>
      </c>
      <c r="M45" s="3">
        <f t="shared" si="4"/>
        <v>0</v>
      </c>
      <c r="N45" s="3">
        <f t="shared" si="5"/>
        <v>0</v>
      </c>
      <c r="O45" s="3">
        <f t="shared" si="6"/>
        <v>0</v>
      </c>
      <c r="P45" s="3">
        <f t="shared" si="7"/>
        <v>0</v>
      </c>
      <c r="Q45" s="3">
        <f t="shared" si="8"/>
        <v>0</v>
      </c>
      <c r="R45" s="3">
        <f t="shared" si="9"/>
        <v>0</v>
      </c>
      <c r="S45" s="3">
        <f t="shared" si="10"/>
        <v>0</v>
      </c>
      <c r="T45" s="3">
        <f t="shared" si="11"/>
        <v>0</v>
      </c>
      <c r="U45" s="3">
        <f t="shared" si="12"/>
        <v>0</v>
      </c>
      <c r="V45" s="3">
        <f t="shared" si="13"/>
        <v>0</v>
      </c>
      <c r="W45" s="3">
        <f t="shared" si="14"/>
        <v>0</v>
      </c>
      <c r="X45" s="3">
        <f t="shared" si="15"/>
        <v>0</v>
      </c>
      <c r="Y45" s="3">
        <f t="shared" si="16"/>
        <v>0</v>
      </c>
      <c r="Z45" s="3" t="str">
        <f t="shared" si="17"/>
        <v>Outro</v>
      </c>
    </row>
    <row r="46" spans="2:26" ht="15" customHeight="1" x14ac:dyDescent="0.25">
      <c r="B46" s="77" t="s">
        <v>231</v>
      </c>
      <c r="C46" s="48" t="s">
        <v>232</v>
      </c>
      <c r="D46" s="207"/>
      <c r="E46" s="207"/>
      <c r="F46" s="207"/>
      <c r="G46" s="207"/>
      <c r="H46" s="208"/>
      <c r="I46" s="214" t="str">
        <f t="shared" si="0"/>
        <v/>
      </c>
      <c r="K46" s="3">
        <f t="shared" si="2"/>
        <v>0</v>
      </c>
      <c r="L46" s="3">
        <f t="shared" si="3"/>
        <v>0</v>
      </c>
      <c r="M46" s="3">
        <f t="shared" si="4"/>
        <v>0</v>
      </c>
      <c r="N46" s="3">
        <f t="shared" si="5"/>
        <v>0</v>
      </c>
      <c r="O46" s="3">
        <f t="shared" si="6"/>
        <v>0</v>
      </c>
      <c r="P46" s="3">
        <f t="shared" si="7"/>
        <v>0</v>
      </c>
      <c r="Q46" s="3">
        <f t="shared" si="8"/>
        <v>0</v>
      </c>
      <c r="R46" s="3">
        <f t="shared" si="9"/>
        <v>0</v>
      </c>
      <c r="S46" s="3">
        <f t="shared" si="10"/>
        <v>0</v>
      </c>
      <c r="T46" s="3">
        <f t="shared" si="11"/>
        <v>0</v>
      </c>
      <c r="U46" s="3">
        <f t="shared" si="12"/>
        <v>0</v>
      </c>
      <c r="V46" s="3">
        <f t="shared" si="13"/>
        <v>0</v>
      </c>
      <c r="W46" s="3">
        <f t="shared" si="14"/>
        <v>0</v>
      </c>
      <c r="X46" s="3">
        <f t="shared" si="15"/>
        <v>0</v>
      </c>
      <c r="Y46" s="3">
        <f t="shared" si="16"/>
        <v>0</v>
      </c>
      <c r="Z46" s="3" t="str">
        <f t="shared" si="17"/>
        <v>Outro</v>
      </c>
    </row>
    <row r="47" spans="2:26" ht="15" customHeight="1" x14ac:dyDescent="0.25">
      <c r="B47" s="77" t="s">
        <v>233</v>
      </c>
      <c r="C47" s="48" t="s">
        <v>234</v>
      </c>
      <c r="D47" s="207"/>
      <c r="E47" s="207"/>
      <c r="F47" s="207"/>
      <c r="G47" s="207"/>
      <c r="H47" s="208">
        <v>10140</v>
      </c>
      <c r="I47" s="214" t="str">
        <f t="shared" si="0"/>
        <v/>
      </c>
      <c r="K47" s="3">
        <f t="shared" si="2"/>
        <v>10140</v>
      </c>
      <c r="L47" s="3">
        <f t="shared" si="3"/>
        <v>10140</v>
      </c>
      <c r="M47" s="3">
        <f t="shared" si="4"/>
        <v>10140</v>
      </c>
      <c r="N47" s="3">
        <f t="shared" si="5"/>
        <v>10140</v>
      </c>
      <c r="O47" s="3">
        <f t="shared" si="6"/>
        <v>10140</v>
      </c>
      <c r="P47" s="3">
        <f t="shared" si="7"/>
        <v>10140</v>
      </c>
      <c r="Q47" s="3">
        <f t="shared" si="8"/>
        <v>10140</v>
      </c>
      <c r="R47" s="3">
        <f t="shared" si="9"/>
        <v>10140</v>
      </c>
      <c r="S47" s="3">
        <f t="shared" si="10"/>
        <v>10140</v>
      </c>
      <c r="T47" s="3">
        <f t="shared" si="11"/>
        <v>10140</v>
      </c>
      <c r="U47" s="3" t="str">
        <f t="shared" si="12"/>
        <v>max11</v>
      </c>
      <c r="V47" s="3" t="str">
        <f t="shared" si="13"/>
        <v>max11</v>
      </c>
      <c r="W47" s="3" t="str">
        <f t="shared" si="14"/>
        <v>max11</v>
      </c>
      <c r="X47" s="3" t="str">
        <f t="shared" si="15"/>
        <v>max11</v>
      </c>
      <c r="Y47" s="3" t="str">
        <f t="shared" si="16"/>
        <v>max11</v>
      </c>
      <c r="Z47" s="3" t="str">
        <f t="shared" si="17"/>
        <v>max11</v>
      </c>
    </row>
    <row r="48" spans="2:26" ht="15" customHeight="1" x14ac:dyDescent="0.25">
      <c r="B48" s="77" t="s">
        <v>235</v>
      </c>
      <c r="C48" s="48" t="s">
        <v>236</v>
      </c>
      <c r="D48" s="207"/>
      <c r="E48" s="207"/>
      <c r="F48" s="207"/>
      <c r="G48" s="207"/>
      <c r="H48" s="208">
        <v>8465</v>
      </c>
      <c r="I48" s="214" t="str">
        <f t="shared" si="0"/>
        <v/>
      </c>
      <c r="K48" s="3">
        <f t="shared" si="2"/>
        <v>8465</v>
      </c>
      <c r="L48" s="3">
        <f t="shared" si="3"/>
        <v>8465</v>
      </c>
      <c r="M48" s="3">
        <f t="shared" si="4"/>
        <v>8465</v>
      </c>
      <c r="N48" s="3">
        <f t="shared" si="5"/>
        <v>8465</v>
      </c>
      <c r="O48" s="3">
        <f t="shared" si="6"/>
        <v>8465</v>
      </c>
      <c r="P48" s="3">
        <f t="shared" si="7"/>
        <v>8465</v>
      </c>
      <c r="Q48" s="3">
        <f t="shared" si="8"/>
        <v>8465</v>
      </c>
      <c r="R48" s="3">
        <f t="shared" si="9"/>
        <v>8465</v>
      </c>
      <c r="S48" s="3">
        <f t="shared" si="10"/>
        <v>8465</v>
      </c>
      <c r="T48" s="3">
        <f t="shared" si="11"/>
        <v>8465</v>
      </c>
      <c r="U48" s="3">
        <f t="shared" si="12"/>
        <v>8465</v>
      </c>
      <c r="V48" s="3">
        <f t="shared" si="13"/>
        <v>8465</v>
      </c>
      <c r="W48" s="3" t="str">
        <f t="shared" si="14"/>
        <v>max13</v>
      </c>
      <c r="X48" s="3" t="str">
        <f t="shared" si="15"/>
        <v>max13</v>
      </c>
      <c r="Y48" s="3" t="str">
        <f t="shared" si="16"/>
        <v>max13</v>
      </c>
      <c r="Z48" s="3" t="str">
        <f t="shared" si="17"/>
        <v>max13</v>
      </c>
    </row>
    <row r="49" spans="2:26" ht="15" customHeight="1" x14ac:dyDescent="0.25">
      <c r="B49" s="77" t="s">
        <v>237</v>
      </c>
      <c r="C49" s="48" t="s">
        <v>238</v>
      </c>
      <c r="D49" s="207"/>
      <c r="E49" s="207"/>
      <c r="F49" s="207"/>
      <c r="G49" s="207"/>
      <c r="H49" s="208">
        <v>318400.21999999997</v>
      </c>
      <c r="I49" s="214" t="str">
        <f t="shared" si="0"/>
        <v/>
      </c>
      <c r="K49" s="3">
        <f t="shared" si="2"/>
        <v>318400.21999999997</v>
      </c>
      <c r="L49" s="3">
        <f t="shared" si="3"/>
        <v>318400.21999999997</v>
      </c>
      <c r="M49" s="3" t="str">
        <f t="shared" si="4"/>
        <v>max3</v>
      </c>
      <c r="N49" s="3" t="str">
        <f t="shared" si="5"/>
        <v>max3</v>
      </c>
      <c r="O49" s="3" t="str">
        <f t="shared" si="6"/>
        <v>max3</v>
      </c>
      <c r="P49" s="3" t="str">
        <f t="shared" si="7"/>
        <v>max3</v>
      </c>
      <c r="Q49" s="3" t="str">
        <f t="shared" si="8"/>
        <v>max3</v>
      </c>
      <c r="R49" s="3" t="str">
        <f t="shared" si="9"/>
        <v>max3</v>
      </c>
      <c r="S49" s="3" t="str">
        <f t="shared" si="10"/>
        <v>max3</v>
      </c>
      <c r="T49" s="3" t="str">
        <f t="shared" si="11"/>
        <v>max3</v>
      </c>
      <c r="U49" s="3" t="str">
        <f t="shared" si="12"/>
        <v>max3</v>
      </c>
      <c r="V49" s="3" t="str">
        <f t="shared" si="13"/>
        <v>max3</v>
      </c>
      <c r="W49" s="3" t="str">
        <f t="shared" si="14"/>
        <v>max3</v>
      </c>
      <c r="X49" s="3" t="str">
        <f t="shared" si="15"/>
        <v>max3</v>
      </c>
      <c r="Y49" s="3" t="str">
        <f t="shared" si="16"/>
        <v>max3</v>
      </c>
      <c r="Z49" s="3" t="str">
        <f t="shared" si="17"/>
        <v>max3</v>
      </c>
    </row>
    <row r="50" spans="2:26" ht="15" customHeight="1" x14ac:dyDescent="0.25">
      <c r="B50" s="77" t="s">
        <v>239</v>
      </c>
      <c r="C50" s="48" t="s">
        <v>240</v>
      </c>
      <c r="D50" s="207"/>
      <c r="E50" s="207"/>
      <c r="F50" s="207"/>
      <c r="G50" s="207"/>
      <c r="H50" s="208">
        <v>400</v>
      </c>
      <c r="I50" s="214" t="str">
        <f t="shared" si="0"/>
        <v/>
      </c>
      <c r="K50" s="3">
        <f t="shared" si="2"/>
        <v>400</v>
      </c>
      <c r="L50" s="3">
        <f t="shared" si="3"/>
        <v>400</v>
      </c>
      <c r="M50" s="3">
        <f t="shared" si="4"/>
        <v>400</v>
      </c>
      <c r="N50" s="3">
        <f t="shared" si="5"/>
        <v>400</v>
      </c>
      <c r="O50" s="3">
        <f t="shared" si="6"/>
        <v>400</v>
      </c>
      <c r="P50" s="3">
        <f t="shared" si="7"/>
        <v>400</v>
      </c>
      <c r="Q50" s="3">
        <f t="shared" si="8"/>
        <v>400</v>
      </c>
      <c r="R50" s="3">
        <f t="shared" si="9"/>
        <v>400</v>
      </c>
      <c r="S50" s="3">
        <f t="shared" si="10"/>
        <v>400</v>
      </c>
      <c r="T50" s="3">
        <f t="shared" si="11"/>
        <v>400</v>
      </c>
      <c r="U50" s="3">
        <f t="shared" si="12"/>
        <v>400</v>
      </c>
      <c r="V50" s="3">
        <f t="shared" si="13"/>
        <v>400</v>
      </c>
      <c r="W50" s="3">
        <f t="shared" si="14"/>
        <v>400</v>
      </c>
      <c r="X50" s="3">
        <f t="shared" si="15"/>
        <v>400</v>
      </c>
      <c r="Y50" s="3">
        <f t="shared" si="16"/>
        <v>400</v>
      </c>
      <c r="Z50" s="3" t="str">
        <f t="shared" si="17"/>
        <v>Outro</v>
      </c>
    </row>
    <row r="51" spans="2:26" ht="15" customHeight="1" x14ac:dyDescent="0.25">
      <c r="B51" s="77" t="s">
        <v>241</v>
      </c>
      <c r="C51" s="48" t="s">
        <v>242</v>
      </c>
      <c r="D51" s="207"/>
      <c r="E51" s="207"/>
      <c r="F51" s="207"/>
      <c r="G51" s="207"/>
      <c r="H51" s="208">
        <v>353463.77</v>
      </c>
      <c r="I51" s="214" t="str">
        <f t="shared" si="0"/>
        <v/>
      </c>
      <c r="K51" s="3">
        <f t="shared" si="2"/>
        <v>353463.77</v>
      </c>
      <c r="L51" s="3" t="str">
        <f t="shared" si="3"/>
        <v>max2</v>
      </c>
      <c r="M51" s="3" t="str">
        <f t="shared" si="4"/>
        <v>max2</v>
      </c>
      <c r="N51" s="3" t="str">
        <f t="shared" si="5"/>
        <v>max2</v>
      </c>
      <c r="O51" s="3" t="str">
        <f t="shared" si="6"/>
        <v>max2</v>
      </c>
      <c r="P51" s="3" t="str">
        <f t="shared" si="7"/>
        <v>max2</v>
      </c>
      <c r="Q51" s="3" t="str">
        <f t="shared" si="8"/>
        <v>max2</v>
      </c>
      <c r="R51" s="3" t="str">
        <f t="shared" si="9"/>
        <v>max2</v>
      </c>
      <c r="S51" s="3" t="str">
        <f t="shared" si="10"/>
        <v>max2</v>
      </c>
      <c r="T51" s="3" t="str">
        <f t="shared" si="11"/>
        <v>max2</v>
      </c>
      <c r="U51" s="3" t="str">
        <f t="shared" si="12"/>
        <v>max2</v>
      </c>
      <c r="V51" s="3" t="str">
        <f t="shared" si="13"/>
        <v>max2</v>
      </c>
      <c r="W51" s="3" t="str">
        <f t="shared" si="14"/>
        <v>max2</v>
      </c>
      <c r="X51" s="3" t="str">
        <f t="shared" si="15"/>
        <v>max2</v>
      </c>
      <c r="Y51" s="3" t="str">
        <f t="shared" si="16"/>
        <v>max2</v>
      </c>
      <c r="Z51" s="3" t="str">
        <f t="shared" si="17"/>
        <v>max2</v>
      </c>
    </row>
    <row r="52" spans="2:26" ht="15" customHeight="1" x14ac:dyDescent="0.25">
      <c r="B52" s="77" t="s">
        <v>243</v>
      </c>
      <c r="C52" s="48" t="s">
        <v>244</v>
      </c>
      <c r="D52" s="207"/>
      <c r="E52" s="207"/>
      <c r="F52" s="207"/>
      <c r="G52" s="207"/>
      <c r="H52" s="208"/>
      <c r="I52" s="214" t="str">
        <f t="shared" si="0"/>
        <v/>
      </c>
      <c r="K52" s="3">
        <f t="shared" si="2"/>
        <v>0</v>
      </c>
      <c r="L52" s="3">
        <f t="shared" si="3"/>
        <v>0</v>
      </c>
      <c r="M52" s="3">
        <f t="shared" si="4"/>
        <v>0</v>
      </c>
      <c r="N52" s="3">
        <f t="shared" si="5"/>
        <v>0</v>
      </c>
      <c r="O52" s="3">
        <f t="shared" si="6"/>
        <v>0</v>
      </c>
      <c r="P52" s="3">
        <f t="shared" si="7"/>
        <v>0</v>
      </c>
      <c r="Q52" s="3">
        <f t="shared" si="8"/>
        <v>0</v>
      </c>
      <c r="R52" s="3">
        <f t="shared" si="9"/>
        <v>0</v>
      </c>
      <c r="S52" s="3">
        <f t="shared" si="10"/>
        <v>0</v>
      </c>
      <c r="T52" s="3">
        <f t="shared" si="11"/>
        <v>0</v>
      </c>
      <c r="U52" s="3">
        <f t="shared" si="12"/>
        <v>0</v>
      </c>
      <c r="V52" s="3">
        <f t="shared" si="13"/>
        <v>0</v>
      </c>
      <c r="W52" s="3">
        <f t="shared" si="14"/>
        <v>0</v>
      </c>
      <c r="X52" s="3">
        <f t="shared" si="15"/>
        <v>0</v>
      </c>
      <c r="Y52" s="3">
        <f t="shared" si="16"/>
        <v>0</v>
      </c>
      <c r="Z52" s="3" t="str">
        <f t="shared" si="17"/>
        <v>Outro</v>
      </c>
    </row>
    <row r="53" spans="2:26" ht="15" customHeight="1" x14ac:dyDescent="0.25">
      <c r="B53" s="77" t="s">
        <v>245</v>
      </c>
      <c r="C53" s="48" t="s">
        <v>246</v>
      </c>
      <c r="D53" s="207"/>
      <c r="E53" s="207"/>
      <c r="F53" s="207"/>
      <c r="G53" s="207"/>
      <c r="H53" s="208"/>
      <c r="I53" s="214" t="str">
        <f t="shared" si="0"/>
        <v/>
      </c>
      <c r="K53" s="3">
        <f t="shared" si="2"/>
        <v>0</v>
      </c>
      <c r="L53" s="3">
        <f t="shared" si="3"/>
        <v>0</v>
      </c>
      <c r="M53" s="3">
        <f t="shared" si="4"/>
        <v>0</v>
      </c>
      <c r="N53" s="3">
        <f t="shared" si="5"/>
        <v>0</v>
      </c>
      <c r="O53" s="3">
        <f t="shared" si="6"/>
        <v>0</v>
      </c>
      <c r="P53" s="3">
        <f t="shared" si="7"/>
        <v>0</v>
      </c>
      <c r="Q53" s="3">
        <f t="shared" si="8"/>
        <v>0</v>
      </c>
      <c r="R53" s="3">
        <f t="shared" si="9"/>
        <v>0</v>
      </c>
      <c r="S53" s="3">
        <f t="shared" si="10"/>
        <v>0</v>
      </c>
      <c r="T53" s="3">
        <f t="shared" si="11"/>
        <v>0</v>
      </c>
      <c r="U53" s="3">
        <f t="shared" si="12"/>
        <v>0</v>
      </c>
      <c r="V53" s="3">
        <f t="shared" si="13"/>
        <v>0</v>
      </c>
      <c r="W53" s="3">
        <f t="shared" si="14"/>
        <v>0</v>
      </c>
      <c r="X53" s="3">
        <f t="shared" si="15"/>
        <v>0</v>
      </c>
      <c r="Y53" s="3">
        <f t="shared" si="16"/>
        <v>0</v>
      </c>
      <c r="Z53" s="3" t="str">
        <f t="shared" si="17"/>
        <v>Outro</v>
      </c>
    </row>
    <row r="54" spans="2:26" ht="15" customHeight="1" x14ac:dyDescent="0.25">
      <c r="B54" s="77" t="s">
        <v>247</v>
      </c>
      <c r="C54" s="48" t="s">
        <v>248</v>
      </c>
      <c r="D54" s="207"/>
      <c r="E54" s="207"/>
      <c r="F54" s="207"/>
      <c r="G54" s="207"/>
      <c r="H54" s="208">
        <v>4000</v>
      </c>
      <c r="I54" s="214" t="str">
        <f t="shared" si="0"/>
        <v/>
      </c>
      <c r="K54" s="3">
        <f t="shared" si="2"/>
        <v>4000</v>
      </c>
      <c r="L54" s="3">
        <f t="shared" si="3"/>
        <v>4000</v>
      </c>
      <c r="M54" s="3">
        <f t="shared" si="4"/>
        <v>4000</v>
      </c>
      <c r="N54" s="3">
        <f t="shared" si="5"/>
        <v>4000</v>
      </c>
      <c r="O54" s="3">
        <f t="shared" si="6"/>
        <v>4000</v>
      </c>
      <c r="P54" s="3">
        <f t="shared" si="7"/>
        <v>4000</v>
      </c>
      <c r="Q54" s="3">
        <f t="shared" si="8"/>
        <v>4000</v>
      </c>
      <c r="R54" s="3">
        <f t="shared" si="9"/>
        <v>4000</v>
      </c>
      <c r="S54" s="3">
        <f t="shared" si="10"/>
        <v>4000</v>
      </c>
      <c r="T54" s="3">
        <f t="shared" si="11"/>
        <v>4000</v>
      </c>
      <c r="U54" s="3">
        <f t="shared" si="12"/>
        <v>4000</v>
      </c>
      <c r="V54" s="3">
        <f t="shared" si="13"/>
        <v>4000</v>
      </c>
      <c r="W54" s="3">
        <f t="shared" si="14"/>
        <v>4000</v>
      </c>
      <c r="X54" s="3" t="str">
        <f t="shared" si="15"/>
        <v>max14</v>
      </c>
      <c r="Y54" s="3" t="str">
        <f t="shared" si="16"/>
        <v>max14</v>
      </c>
      <c r="Z54" s="3" t="str">
        <f t="shared" si="17"/>
        <v>max14</v>
      </c>
    </row>
    <row r="55" spans="2:26" ht="15" customHeight="1" x14ac:dyDescent="0.25">
      <c r="B55" s="77" t="s">
        <v>249</v>
      </c>
      <c r="C55" s="48" t="s">
        <v>250</v>
      </c>
      <c r="D55" s="207"/>
      <c r="E55" s="207"/>
      <c r="F55" s="207"/>
      <c r="G55" s="207"/>
      <c r="H55" s="208"/>
      <c r="I55" s="214" t="str">
        <f t="shared" si="0"/>
        <v/>
      </c>
      <c r="K55" s="3">
        <f t="shared" si="2"/>
        <v>0</v>
      </c>
      <c r="L55" s="3">
        <f t="shared" si="3"/>
        <v>0</v>
      </c>
      <c r="M55" s="3">
        <f t="shared" si="4"/>
        <v>0</v>
      </c>
      <c r="N55" s="3">
        <f t="shared" si="5"/>
        <v>0</v>
      </c>
      <c r="O55" s="3">
        <f t="shared" si="6"/>
        <v>0</v>
      </c>
      <c r="P55" s="3">
        <f t="shared" si="7"/>
        <v>0</v>
      </c>
      <c r="Q55" s="3">
        <f t="shared" si="8"/>
        <v>0</v>
      </c>
      <c r="R55" s="3">
        <f t="shared" si="9"/>
        <v>0</v>
      </c>
      <c r="S55" s="3">
        <f t="shared" si="10"/>
        <v>0</v>
      </c>
      <c r="T55" s="3">
        <f t="shared" si="11"/>
        <v>0</v>
      </c>
      <c r="U55" s="3">
        <f t="shared" si="12"/>
        <v>0</v>
      </c>
      <c r="V55" s="3">
        <f t="shared" si="13"/>
        <v>0</v>
      </c>
      <c r="W55" s="3">
        <f t="shared" si="14"/>
        <v>0</v>
      </c>
      <c r="X55" s="3">
        <f t="shared" si="15"/>
        <v>0</v>
      </c>
      <c r="Y55" s="3">
        <f t="shared" si="16"/>
        <v>0</v>
      </c>
      <c r="Z55" s="3" t="str">
        <f t="shared" si="17"/>
        <v>Outro</v>
      </c>
    </row>
    <row r="56" spans="2:26" ht="15" customHeight="1" x14ac:dyDescent="0.25">
      <c r="B56" s="77" t="s">
        <v>251</v>
      </c>
      <c r="C56" s="48" t="s">
        <v>252</v>
      </c>
      <c r="D56" s="207"/>
      <c r="E56" s="207"/>
      <c r="F56" s="207"/>
      <c r="G56" s="207"/>
      <c r="H56" s="208">
        <v>562838</v>
      </c>
      <c r="I56" s="214" t="str">
        <f t="shared" si="0"/>
        <v/>
      </c>
      <c r="K56" s="3" t="str">
        <f t="shared" si="2"/>
        <v>max1</v>
      </c>
      <c r="L56" s="3" t="str">
        <f t="shared" si="3"/>
        <v>max1</v>
      </c>
      <c r="M56" s="3" t="str">
        <f t="shared" si="4"/>
        <v>max1</v>
      </c>
      <c r="N56" s="3" t="str">
        <f t="shared" si="5"/>
        <v>max1</v>
      </c>
      <c r="O56" s="3" t="str">
        <f t="shared" si="6"/>
        <v>max1</v>
      </c>
      <c r="P56" s="3" t="str">
        <f t="shared" si="7"/>
        <v>max1</v>
      </c>
      <c r="Q56" s="3" t="str">
        <f t="shared" si="8"/>
        <v>max1</v>
      </c>
      <c r="R56" s="3" t="str">
        <f t="shared" si="9"/>
        <v>max1</v>
      </c>
      <c r="S56" s="3" t="str">
        <f t="shared" si="10"/>
        <v>max1</v>
      </c>
      <c r="T56" s="3" t="str">
        <f t="shared" si="11"/>
        <v>max1</v>
      </c>
      <c r="U56" s="3" t="str">
        <f t="shared" si="12"/>
        <v>max1</v>
      </c>
      <c r="V56" s="3" t="str">
        <f t="shared" si="13"/>
        <v>max1</v>
      </c>
      <c r="W56" s="3" t="str">
        <f t="shared" si="14"/>
        <v>max1</v>
      </c>
      <c r="X56" s="3" t="str">
        <f t="shared" si="15"/>
        <v>max1</v>
      </c>
      <c r="Y56" s="3" t="str">
        <f t="shared" si="16"/>
        <v>max1</v>
      </c>
      <c r="Z56" s="3" t="str">
        <f t="shared" si="17"/>
        <v>max1</v>
      </c>
    </row>
    <row r="57" spans="2:26" ht="15" customHeight="1" x14ac:dyDescent="0.25">
      <c r="B57" s="77" t="s">
        <v>253</v>
      </c>
      <c r="C57" s="209"/>
      <c r="D57" s="207"/>
      <c r="E57" s="207"/>
      <c r="F57" s="207"/>
      <c r="G57" s="207"/>
      <c r="H57" s="208"/>
      <c r="I57" s="214" t="str">
        <f t="shared" si="0"/>
        <v/>
      </c>
      <c r="K57" s="3">
        <f t="shared" si="2"/>
        <v>0</v>
      </c>
      <c r="L57" s="3">
        <f t="shared" si="3"/>
        <v>0</v>
      </c>
      <c r="M57" s="3">
        <f t="shared" si="4"/>
        <v>0</v>
      </c>
      <c r="N57" s="3">
        <f t="shared" si="5"/>
        <v>0</v>
      </c>
      <c r="O57" s="3">
        <f t="shared" si="6"/>
        <v>0</v>
      </c>
      <c r="P57" s="3">
        <f t="shared" si="7"/>
        <v>0</v>
      </c>
      <c r="Q57" s="3">
        <f t="shared" si="8"/>
        <v>0</v>
      </c>
      <c r="R57" s="3">
        <f t="shared" si="9"/>
        <v>0</v>
      </c>
      <c r="S57" s="3">
        <f t="shared" si="10"/>
        <v>0</v>
      </c>
      <c r="T57" s="3">
        <f t="shared" si="11"/>
        <v>0</v>
      </c>
      <c r="U57" s="3">
        <f t="shared" si="12"/>
        <v>0</v>
      </c>
      <c r="V57" s="3">
        <f t="shared" si="13"/>
        <v>0</v>
      </c>
      <c r="W57" s="3">
        <f t="shared" si="14"/>
        <v>0</v>
      </c>
      <c r="X57" s="3">
        <f t="shared" si="15"/>
        <v>0</v>
      </c>
      <c r="Y57" s="3">
        <f t="shared" si="16"/>
        <v>0</v>
      </c>
      <c r="Z57" s="3" t="str">
        <f t="shared" si="17"/>
        <v>Outro</v>
      </c>
    </row>
    <row r="58" spans="2:26" ht="15" customHeight="1" x14ac:dyDescent="0.25">
      <c r="B58" s="77" t="s">
        <v>254</v>
      </c>
      <c r="C58" s="209"/>
      <c r="D58" s="207"/>
      <c r="E58" s="207"/>
      <c r="F58" s="207"/>
      <c r="G58" s="207"/>
      <c r="H58" s="208"/>
      <c r="I58" s="214" t="str">
        <f t="shared" si="0"/>
        <v/>
      </c>
      <c r="K58" s="3">
        <f t="shared" si="2"/>
        <v>0</v>
      </c>
      <c r="L58" s="3">
        <f t="shared" si="3"/>
        <v>0</v>
      </c>
      <c r="M58" s="3">
        <f t="shared" si="4"/>
        <v>0</v>
      </c>
      <c r="N58" s="3">
        <f t="shared" si="5"/>
        <v>0</v>
      </c>
      <c r="O58" s="3">
        <f t="shared" si="6"/>
        <v>0</v>
      </c>
      <c r="P58" s="3">
        <f t="shared" si="7"/>
        <v>0</v>
      </c>
      <c r="Q58" s="3">
        <f t="shared" si="8"/>
        <v>0</v>
      </c>
      <c r="R58" s="3">
        <f t="shared" si="9"/>
        <v>0</v>
      </c>
      <c r="S58" s="3">
        <f t="shared" si="10"/>
        <v>0</v>
      </c>
      <c r="T58" s="3">
        <f t="shared" si="11"/>
        <v>0</v>
      </c>
      <c r="U58" s="3">
        <f t="shared" si="12"/>
        <v>0</v>
      </c>
      <c r="V58" s="3">
        <f t="shared" si="13"/>
        <v>0</v>
      </c>
      <c r="W58" s="3">
        <f t="shared" si="14"/>
        <v>0</v>
      </c>
      <c r="X58" s="3">
        <f t="shared" si="15"/>
        <v>0</v>
      </c>
      <c r="Y58" s="3">
        <f t="shared" si="16"/>
        <v>0</v>
      </c>
      <c r="Z58" s="3" t="str">
        <f t="shared" si="17"/>
        <v>Outro</v>
      </c>
    </row>
    <row r="59" spans="2:26" ht="15" customHeight="1" x14ac:dyDescent="0.25">
      <c r="B59" s="77" t="s">
        <v>255</v>
      </c>
      <c r="C59" s="48" t="s">
        <v>256</v>
      </c>
      <c r="D59" s="207"/>
      <c r="E59" s="207"/>
      <c r="F59" s="207"/>
      <c r="G59" s="207"/>
      <c r="H59" s="208">
        <v>116258.5</v>
      </c>
      <c r="I59" s="214" t="str">
        <f t="shared" si="0"/>
        <v/>
      </c>
      <c r="K59" s="3">
        <f t="shared" si="2"/>
        <v>116258.5</v>
      </c>
      <c r="L59" s="3">
        <f t="shared" si="3"/>
        <v>116258.5</v>
      </c>
      <c r="M59" s="3">
        <f t="shared" si="4"/>
        <v>116258.5</v>
      </c>
      <c r="N59" s="3">
        <f t="shared" si="5"/>
        <v>116258.5</v>
      </c>
      <c r="O59" s="3">
        <f t="shared" si="6"/>
        <v>116258.5</v>
      </c>
      <c r="P59" s="3" t="str">
        <f t="shared" si="7"/>
        <v>max6</v>
      </c>
      <c r="Q59" s="3" t="str">
        <f t="shared" si="8"/>
        <v>max6</v>
      </c>
      <c r="R59" s="3" t="str">
        <f t="shared" si="9"/>
        <v>max6</v>
      </c>
      <c r="S59" s="3" t="str">
        <f t="shared" si="10"/>
        <v>max6</v>
      </c>
      <c r="T59" s="3" t="str">
        <f t="shared" si="11"/>
        <v>max6</v>
      </c>
      <c r="U59" s="3" t="str">
        <f t="shared" si="12"/>
        <v>max6</v>
      </c>
      <c r="V59" s="3" t="str">
        <f t="shared" si="13"/>
        <v>max6</v>
      </c>
      <c r="W59" s="3" t="str">
        <f t="shared" si="14"/>
        <v>max6</v>
      </c>
      <c r="X59" s="3" t="str">
        <f t="shared" si="15"/>
        <v>max6</v>
      </c>
      <c r="Y59" s="3" t="str">
        <f t="shared" si="16"/>
        <v>max6</v>
      </c>
      <c r="Z59" s="3" t="str">
        <f t="shared" si="17"/>
        <v>max6</v>
      </c>
    </row>
    <row r="60" spans="2:26" ht="15" customHeight="1" x14ac:dyDescent="0.25">
      <c r="B60" s="210"/>
      <c r="C60" s="209"/>
      <c r="D60" s="207"/>
      <c r="E60" s="207"/>
      <c r="F60" s="207"/>
      <c r="G60" s="207"/>
      <c r="H60" s="208"/>
      <c r="I60" s="214" t="str">
        <f t="shared" si="0"/>
        <v/>
      </c>
      <c r="K60" s="3">
        <f t="shared" si="2"/>
        <v>0</v>
      </c>
      <c r="L60" s="3">
        <f t="shared" si="3"/>
        <v>0</v>
      </c>
      <c r="M60" s="3">
        <f t="shared" si="4"/>
        <v>0</v>
      </c>
      <c r="N60" s="3">
        <f t="shared" si="5"/>
        <v>0</v>
      </c>
      <c r="O60" s="3">
        <f t="shared" si="6"/>
        <v>0</v>
      </c>
      <c r="P60" s="3">
        <f t="shared" si="7"/>
        <v>0</v>
      </c>
      <c r="Q60" s="3">
        <f t="shared" si="8"/>
        <v>0</v>
      </c>
      <c r="R60" s="3">
        <f t="shared" si="9"/>
        <v>0</v>
      </c>
      <c r="S60" s="3">
        <f t="shared" si="10"/>
        <v>0</v>
      </c>
      <c r="T60" s="3">
        <f t="shared" si="11"/>
        <v>0</v>
      </c>
      <c r="U60" s="3">
        <f t="shared" si="12"/>
        <v>0</v>
      </c>
      <c r="V60" s="3">
        <f t="shared" si="13"/>
        <v>0</v>
      </c>
      <c r="W60" s="3">
        <f t="shared" si="14"/>
        <v>0</v>
      </c>
      <c r="X60" s="3">
        <f t="shared" si="15"/>
        <v>0</v>
      </c>
      <c r="Y60" s="3">
        <f t="shared" si="16"/>
        <v>0</v>
      </c>
      <c r="Z60" s="3" t="str">
        <f t="shared" si="17"/>
        <v>Outro</v>
      </c>
    </row>
    <row r="61" spans="2:26" ht="15" customHeight="1" x14ac:dyDescent="0.25">
      <c r="B61" s="210"/>
      <c r="C61" s="209"/>
      <c r="D61" s="207"/>
      <c r="E61" s="207"/>
      <c r="F61" s="207"/>
      <c r="G61" s="207"/>
      <c r="H61" s="208"/>
      <c r="I61" s="214" t="str">
        <f t="shared" si="0"/>
        <v/>
      </c>
      <c r="K61" s="3">
        <f t="shared" si="2"/>
        <v>0</v>
      </c>
      <c r="L61" s="3">
        <f t="shared" si="3"/>
        <v>0</v>
      </c>
      <c r="M61" s="3">
        <f t="shared" si="4"/>
        <v>0</v>
      </c>
      <c r="N61" s="3">
        <f t="shared" si="5"/>
        <v>0</v>
      </c>
      <c r="O61" s="3">
        <f t="shared" si="6"/>
        <v>0</v>
      </c>
      <c r="P61" s="3">
        <f t="shared" si="7"/>
        <v>0</v>
      </c>
      <c r="Q61" s="3">
        <f t="shared" si="8"/>
        <v>0</v>
      </c>
      <c r="R61" s="3">
        <f t="shared" si="9"/>
        <v>0</v>
      </c>
      <c r="S61" s="3">
        <f t="shared" si="10"/>
        <v>0</v>
      </c>
      <c r="T61" s="3">
        <f t="shared" si="11"/>
        <v>0</v>
      </c>
      <c r="U61" s="3">
        <f t="shared" si="12"/>
        <v>0</v>
      </c>
      <c r="V61" s="3">
        <f t="shared" si="13"/>
        <v>0</v>
      </c>
      <c r="W61" s="3">
        <f t="shared" si="14"/>
        <v>0</v>
      </c>
      <c r="X61" s="3">
        <f t="shared" si="15"/>
        <v>0</v>
      </c>
      <c r="Y61" s="3">
        <f t="shared" si="16"/>
        <v>0</v>
      </c>
      <c r="Z61" s="3" t="str">
        <f t="shared" si="17"/>
        <v>Outro</v>
      </c>
    </row>
    <row r="62" spans="2:26" ht="15" customHeight="1" x14ac:dyDescent="0.25">
      <c r="B62" s="210"/>
      <c r="C62" s="209"/>
      <c r="D62" s="207"/>
      <c r="E62" s="207"/>
      <c r="F62" s="207"/>
      <c r="G62" s="207"/>
      <c r="H62" s="208"/>
      <c r="I62" s="214" t="str">
        <f t="shared" si="0"/>
        <v/>
      </c>
      <c r="K62" s="3">
        <f t="shared" si="2"/>
        <v>0</v>
      </c>
      <c r="L62" s="3">
        <f t="shared" si="3"/>
        <v>0</v>
      </c>
      <c r="M62" s="3">
        <f t="shared" si="4"/>
        <v>0</v>
      </c>
      <c r="N62" s="3">
        <f t="shared" si="5"/>
        <v>0</v>
      </c>
      <c r="O62" s="3">
        <f t="shared" si="6"/>
        <v>0</v>
      </c>
      <c r="P62" s="3">
        <f t="shared" si="7"/>
        <v>0</v>
      </c>
      <c r="Q62" s="3">
        <f t="shared" si="8"/>
        <v>0</v>
      </c>
      <c r="R62" s="3">
        <f t="shared" si="9"/>
        <v>0</v>
      </c>
      <c r="S62" s="3">
        <f t="shared" si="10"/>
        <v>0</v>
      </c>
      <c r="T62" s="3">
        <f t="shared" si="11"/>
        <v>0</v>
      </c>
      <c r="U62" s="3">
        <f t="shared" si="12"/>
        <v>0</v>
      </c>
      <c r="V62" s="3">
        <f t="shared" si="13"/>
        <v>0</v>
      </c>
      <c r="W62" s="3">
        <f t="shared" si="14"/>
        <v>0</v>
      </c>
      <c r="X62" s="3">
        <f t="shared" si="15"/>
        <v>0</v>
      </c>
      <c r="Y62" s="3">
        <f t="shared" si="16"/>
        <v>0</v>
      </c>
      <c r="Z62" s="3" t="str">
        <f t="shared" si="17"/>
        <v>Outro</v>
      </c>
    </row>
    <row r="63" spans="2:26" ht="15" customHeight="1" x14ac:dyDescent="0.25">
      <c r="B63" s="210"/>
      <c r="C63" s="209"/>
      <c r="D63" s="207"/>
      <c r="E63" s="207"/>
      <c r="F63" s="207"/>
      <c r="G63" s="207"/>
      <c r="H63" s="208"/>
      <c r="I63" s="214" t="str">
        <f t="shared" si="0"/>
        <v/>
      </c>
      <c r="K63" s="3">
        <f t="shared" si="2"/>
        <v>0</v>
      </c>
      <c r="L63" s="3">
        <f t="shared" si="3"/>
        <v>0</v>
      </c>
      <c r="M63" s="3">
        <f t="shared" si="4"/>
        <v>0</v>
      </c>
      <c r="N63" s="3">
        <f t="shared" si="5"/>
        <v>0</v>
      </c>
      <c r="O63" s="3">
        <f t="shared" si="6"/>
        <v>0</v>
      </c>
      <c r="P63" s="3">
        <f t="shared" si="7"/>
        <v>0</v>
      </c>
      <c r="Q63" s="3">
        <f t="shared" si="8"/>
        <v>0</v>
      </c>
      <c r="R63" s="3">
        <f t="shared" si="9"/>
        <v>0</v>
      </c>
      <c r="S63" s="3">
        <f t="shared" si="10"/>
        <v>0</v>
      </c>
      <c r="T63" s="3">
        <f t="shared" si="11"/>
        <v>0</v>
      </c>
      <c r="U63" s="3">
        <f t="shared" si="12"/>
        <v>0</v>
      </c>
      <c r="V63" s="3">
        <f t="shared" si="13"/>
        <v>0</v>
      </c>
      <c r="W63" s="3">
        <f t="shared" si="14"/>
        <v>0</v>
      </c>
      <c r="X63" s="3">
        <f t="shared" si="15"/>
        <v>0</v>
      </c>
      <c r="Y63" s="3">
        <f t="shared" si="16"/>
        <v>0</v>
      </c>
      <c r="Z63" s="3" t="str">
        <f t="shared" si="17"/>
        <v>Outro</v>
      </c>
    </row>
    <row r="64" spans="2:26" ht="15" customHeight="1" x14ac:dyDescent="0.25">
      <c r="B64" s="210"/>
      <c r="C64" s="209"/>
      <c r="D64" s="207"/>
      <c r="E64" s="207"/>
      <c r="F64" s="207"/>
      <c r="G64" s="207"/>
      <c r="H64" s="208"/>
      <c r="I64" s="214" t="str">
        <f t="shared" si="0"/>
        <v/>
      </c>
      <c r="K64" s="3">
        <f t="shared" si="2"/>
        <v>0</v>
      </c>
      <c r="L64" s="3">
        <f t="shared" si="3"/>
        <v>0</v>
      </c>
      <c r="M64" s="3">
        <f t="shared" si="4"/>
        <v>0</v>
      </c>
      <c r="N64" s="3">
        <f t="shared" si="5"/>
        <v>0</v>
      </c>
      <c r="O64" s="3">
        <f t="shared" si="6"/>
        <v>0</v>
      </c>
      <c r="P64" s="3">
        <f t="shared" si="7"/>
        <v>0</v>
      </c>
      <c r="Q64" s="3">
        <f t="shared" si="8"/>
        <v>0</v>
      </c>
      <c r="R64" s="3">
        <f t="shared" si="9"/>
        <v>0</v>
      </c>
      <c r="S64" s="3">
        <f t="shared" si="10"/>
        <v>0</v>
      </c>
      <c r="T64" s="3">
        <f t="shared" si="11"/>
        <v>0</v>
      </c>
      <c r="U64" s="3">
        <f t="shared" si="12"/>
        <v>0</v>
      </c>
      <c r="V64" s="3">
        <f t="shared" si="13"/>
        <v>0</v>
      </c>
      <c r="W64" s="3">
        <f t="shared" si="14"/>
        <v>0</v>
      </c>
      <c r="X64" s="3">
        <f t="shared" si="15"/>
        <v>0</v>
      </c>
      <c r="Y64" s="3">
        <f t="shared" si="16"/>
        <v>0</v>
      </c>
      <c r="Z64" s="3" t="str">
        <f t="shared" si="17"/>
        <v>Outro</v>
      </c>
    </row>
    <row r="65" spans="2:26" ht="15" customHeight="1" x14ac:dyDescent="0.25">
      <c r="B65" s="210"/>
      <c r="C65" s="209"/>
      <c r="D65" s="207"/>
      <c r="E65" s="207"/>
      <c r="F65" s="207"/>
      <c r="G65" s="207"/>
      <c r="H65" s="208"/>
      <c r="I65" s="214" t="str">
        <f t="shared" si="0"/>
        <v/>
      </c>
      <c r="K65" s="3">
        <f t="shared" si="2"/>
        <v>0</v>
      </c>
      <c r="L65" s="3">
        <f t="shared" si="3"/>
        <v>0</v>
      </c>
      <c r="M65" s="3">
        <f t="shared" si="4"/>
        <v>0</v>
      </c>
      <c r="N65" s="3">
        <f t="shared" si="5"/>
        <v>0</v>
      </c>
      <c r="O65" s="3">
        <f t="shared" si="6"/>
        <v>0</v>
      </c>
      <c r="P65" s="3">
        <f t="shared" si="7"/>
        <v>0</v>
      </c>
      <c r="Q65" s="3">
        <f t="shared" si="8"/>
        <v>0</v>
      </c>
      <c r="R65" s="3">
        <f t="shared" si="9"/>
        <v>0</v>
      </c>
      <c r="S65" s="3">
        <f t="shared" si="10"/>
        <v>0</v>
      </c>
      <c r="T65" s="3">
        <f t="shared" si="11"/>
        <v>0</v>
      </c>
      <c r="U65" s="3">
        <f t="shared" si="12"/>
        <v>0</v>
      </c>
      <c r="V65" s="3">
        <f t="shared" si="13"/>
        <v>0</v>
      </c>
      <c r="W65" s="3">
        <f t="shared" si="14"/>
        <v>0</v>
      </c>
      <c r="X65" s="3">
        <f t="shared" si="15"/>
        <v>0</v>
      </c>
      <c r="Y65" s="3">
        <f t="shared" si="16"/>
        <v>0</v>
      </c>
      <c r="Z65" s="3" t="str">
        <f t="shared" si="17"/>
        <v>Outro</v>
      </c>
    </row>
    <row r="66" spans="2:26" ht="15" customHeight="1" x14ac:dyDescent="0.25">
      <c r="B66" s="210"/>
      <c r="C66" s="209"/>
      <c r="D66" s="207"/>
      <c r="E66" s="207"/>
      <c r="F66" s="207"/>
      <c r="G66" s="207"/>
      <c r="H66" s="208"/>
      <c r="I66" s="214" t="str">
        <f t="shared" si="0"/>
        <v/>
      </c>
      <c r="K66" s="3">
        <f t="shared" si="2"/>
        <v>0</v>
      </c>
      <c r="L66" s="3">
        <f t="shared" si="3"/>
        <v>0</v>
      </c>
      <c r="M66" s="3">
        <f t="shared" si="4"/>
        <v>0</v>
      </c>
      <c r="N66" s="3">
        <f t="shared" si="5"/>
        <v>0</v>
      </c>
      <c r="O66" s="3">
        <f t="shared" si="6"/>
        <v>0</v>
      </c>
      <c r="P66" s="3">
        <f t="shared" si="7"/>
        <v>0</v>
      </c>
      <c r="Q66" s="3">
        <f t="shared" si="8"/>
        <v>0</v>
      </c>
      <c r="R66" s="3">
        <f t="shared" si="9"/>
        <v>0</v>
      </c>
      <c r="S66" s="3">
        <f t="shared" si="10"/>
        <v>0</v>
      </c>
      <c r="T66" s="3">
        <f t="shared" si="11"/>
        <v>0</v>
      </c>
      <c r="U66" s="3">
        <f t="shared" si="12"/>
        <v>0</v>
      </c>
      <c r="V66" s="3">
        <f t="shared" si="13"/>
        <v>0</v>
      </c>
      <c r="W66" s="3">
        <f t="shared" si="14"/>
        <v>0</v>
      </c>
      <c r="X66" s="3">
        <f t="shared" si="15"/>
        <v>0</v>
      </c>
      <c r="Y66" s="3">
        <f t="shared" si="16"/>
        <v>0</v>
      </c>
      <c r="Z66" s="3" t="str">
        <f t="shared" si="17"/>
        <v>Outro</v>
      </c>
    </row>
    <row r="67" spans="2:26" ht="15" customHeight="1" x14ac:dyDescent="0.25">
      <c r="B67" s="73" t="s">
        <v>257</v>
      </c>
      <c r="C67" s="53" t="s">
        <v>258</v>
      </c>
      <c r="D67" s="211">
        <f>SUM(D68:D74)</f>
        <v>0</v>
      </c>
      <c r="E67" s="211">
        <f t="shared" ref="E67:H67" si="18">SUM(E68:E74)</f>
        <v>0</v>
      </c>
      <c r="F67" s="211">
        <f t="shared" si="18"/>
        <v>0</v>
      </c>
      <c r="G67" s="211">
        <f t="shared" si="18"/>
        <v>0</v>
      </c>
      <c r="H67" s="112">
        <f t="shared" si="18"/>
        <v>0</v>
      </c>
      <c r="I67" s="212" t="str">
        <f t="shared" si="0"/>
        <v/>
      </c>
    </row>
    <row r="68" spans="2:26" ht="15" customHeight="1" x14ac:dyDescent="0.25">
      <c r="B68" s="77" t="s">
        <v>259</v>
      </c>
      <c r="C68" s="48" t="s">
        <v>260</v>
      </c>
      <c r="D68" s="207"/>
      <c r="E68" s="207"/>
      <c r="F68" s="207"/>
      <c r="G68" s="207"/>
      <c r="H68" s="208"/>
      <c r="I68" s="214" t="str">
        <f t="shared" si="0"/>
        <v/>
      </c>
    </row>
    <row r="69" spans="2:26" ht="15" customHeight="1" x14ac:dyDescent="0.25">
      <c r="B69" s="77" t="s">
        <v>261</v>
      </c>
      <c r="C69" s="48" t="s">
        <v>262</v>
      </c>
      <c r="D69" s="207"/>
      <c r="E69" s="207"/>
      <c r="F69" s="207"/>
      <c r="G69" s="207"/>
      <c r="H69" s="208"/>
      <c r="I69" s="214" t="str">
        <f t="shared" si="0"/>
        <v/>
      </c>
    </row>
    <row r="70" spans="2:26" ht="15" customHeight="1" x14ac:dyDescent="0.25">
      <c r="B70" s="77" t="s">
        <v>263</v>
      </c>
      <c r="C70" s="48" t="s">
        <v>113</v>
      </c>
      <c r="D70" s="207"/>
      <c r="E70" s="207"/>
      <c r="F70" s="207"/>
      <c r="G70" s="207"/>
      <c r="H70" s="208"/>
      <c r="I70" s="214" t="str">
        <f t="shared" si="0"/>
        <v/>
      </c>
    </row>
    <row r="71" spans="2:26" ht="15" customHeight="1" x14ac:dyDescent="0.25">
      <c r="B71" s="77" t="s">
        <v>264</v>
      </c>
      <c r="C71" s="48" t="s">
        <v>265</v>
      </c>
      <c r="D71" s="207"/>
      <c r="E71" s="207"/>
      <c r="F71" s="207"/>
      <c r="G71" s="207"/>
      <c r="H71" s="208"/>
      <c r="I71" s="214" t="str">
        <f t="shared" si="0"/>
        <v/>
      </c>
    </row>
    <row r="72" spans="2:26" ht="15" customHeight="1" x14ac:dyDescent="0.25">
      <c r="B72" s="210"/>
      <c r="C72" s="209"/>
      <c r="D72" s="207"/>
      <c r="E72" s="207"/>
      <c r="F72" s="207"/>
      <c r="G72" s="207"/>
      <c r="H72" s="208"/>
      <c r="I72" s="214" t="str">
        <f t="shared" si="0"/>
        <v/>
      </c>
    </row>
    <row r="73" spans="2:26" ht="15" customHeight="1" x14ac:dyDescent="0.25">
      <c r="B73" s="210"/>
      <c r="C73" s="209"/>
      <c r="D73" s="207"/>
      <c r="E73" s="207"/>
      <c r="F73" s="207"/>
      <c r="G73" s="207"/>
      <c r="H73" s="208"/>
      <c r="I73" s="214" t="str">
        <f t="shared" si="0"/>
        <v/>
      </c>
    </row>
    <row r="74" spans="2:26" ht="15" customHeight="1" x14ac:dyDescent="0.25">
      <c r="B74" s="210"/>
      <c r="C74" s="209"/>
      <c r="D74" s="207"/>
      <c r="E74" s="207"/>
      <c r="F74" s="207"/>
      <c r="G74" s="207"/>
      <c r="H74" s="208"/>
      <c r="I74" s="214" t="str">
        <f t="shared" si="0"/>
        <v/>
      </c>
    </row>
    <row r="75" spans="2:26" ht="15" customHeight="1" x14ac:dyDescent="0.25">
      <c r="B75" s="73" t="s">
        <v>266</v>
      </c>
      <c r="C75" s="53" t="s">
        <v>429</v>
      </c>
      <c r="D75" s="211">
        <f>SUM(D76:D81)</f>
        <v>0</v>
      </c>
      <c r="E75" s="211">
        <f t="shared" ref="E75:H75" si="19">SUM(E76:E81)</f>
        <v>0</v>
      </c>
      <c r="F75" s="211">
        <f t="shared" si="19"/>
        <v>0</v>
      </c>
      <c r="G75" s="211">
        <f t="shared" si="19"/>
        <v>0</v>
      </c>
      <c r="H75" s="112">
        <f t="shared" si="19"/>
        <v>0</v>
      </c>
      <c r="I75" s="212" t="str">
        <f t="shared" ref="I75:I124" si="20">IFERROR(IF(AND(G75&lt;0,H75&lt;=0),-(H75-G75)/G75,IF(AND(G75&lt;0,H75&gt;0),-(H75-G75)/G75,(H75-G75)/G75)),"")</f>
        <v/>
      </c>
    </row>
    <row r="76" spans="2:26" ht="15" customHeight="1" x14ac:dyDescent="0.25">
      <c r="B76" s="77" t="s">
        <v>267</v>
      </c>
      <c r="C76" s="48" t="s">
        <v>112</v>
      </c>
      <c r="D76" s="207"/>
      <c r="E76" s="207"/>
      <c r="F76" s="207"/>
      <c r="G76" s="207"/>
      <c r="H76" s="208"/>
      <c r="I76" s="214" t="str">
        <f t="shared" si="20"/>
        <v/>
      </c>
    </row>
    <row r="77" spans="2:26" ht="15" customHeight="1" x14ac:dyDescent="0.25">
      <c r="B77" s="77" t="s">
        <v>268</v>
      </c>
      <c r="C77" s="48" t="s">
        <v>111</v>
      </c>
      <c r="D77" s="207"/>
      <c r="E77" s="207"/>
      <c r="F77" s="207"/>
      <c r="G77" s="207"/>
      <c r="H77" s="208"/>
      <c r="I77" s="214" t="str">
        <f t="shared" si="20"/>
        <v/>
      </c>
    </row>
    <row r="78" spans="2:26" ht="15" customHeight="1" x14ac:dyDescent="0.25">
      <c r="B78" s="77" t="s">
        <v>269</v>
      </c>
      <c r="C78" s="48" t="s">
        <v>113</v>
      </c>
      <c r="D78" s="207"/>
      <c r="E78" s="207"/>
      <c r="F78" s="207"/>
      <c r="G78" s="207"/>
      <c r="H78" s="208"/>
      <c r="I78" s="214" t="str">
        <f t="shared" si="20"/>
        <v/>
      </c>
    </row>
    <row r="79" spans="2:26" ht="15" customHeight="1" x14ac:dyDescent="0.25">
      <c r="B79" s="210"/>
      <c r="C79" s="209"/>
      <c r="D79" s="207"/>
      <c r="E79" s="207"/>
      <c r="F79" s="207"/>
      <c r="G79" s="207"/>
      <c r="H79" s="208"/>
      <c r="I79" s="214" t="str">
        <f t="shared" si="20"/>
        <v/>
      </c>
    </row>
    <row r="80" spans="2:26" ht="15" customHeight="1" x14ac:dyDescent="0.25">
      <c r="B80" s="210"/>
      <c r="C80" s="209"/>
      <c r="D80" s="207"/>
      <c r="E80" s="207"/>
      <c r="F80" s="207"/>
      <c r="G80" s="207"/>
      <c r="H80" s="208"/>
      <c r="I80" s="214" t="str">
        <f t="shared" si="20"/>
        <v/>
      </c>
    </row>
    <row r="81" spans="2:9" ht="15" customHeight="1" x14ac:dyDescent="0.25">
      <c r="B81" s="210"/>
      <c r="C81" s="209"/>
      <c r="D81" s="207"/>
      <c r="E81" s="207"/>
      <c r="F81" s="207"/>
      <c r="G81" s="207"/>
      <c r="H81" s="208"/>
      <c r="I81" s="214" t="str">
        <f t="shared" si="20"/>
        <v/>
      </c>
    </row>
    <row r="82" spans="2:9" ht="15" customHeight="1" x14ac:dyDescent="0.25">
      <c r="B82" s="73" t="s">
        <v>270</v>
      </c>
      <c r="C82" s="53" t="s">
        <v>271</v>
      </c>
      <c r="D82" s="211">
        <f>SUM(D83:D93)</f>
        <v>0</v>
      </c>
      <c r="E82" s="211">
        <f t="shared" ref="E82:H82" si="21">SUM(E83:E93)</f>
        <v>0</v>
      </c>
      <c r="F82" s="211">
        <f t="shared" si="21"/>
        <v>0</v>
      </c>
      <c r="G82" s="211">
        <f t="shared" si="21"/>
        <v>0</v>
      </c>
      <c r="H82" s="112">
        <f t="shared" si="21"/>
        <v>0</v>
      </c>
      <c r="I82" s="212" t="str">
        <f t="shared" si="20"/>
        <v/>
      </c>
    </row>
    <row r="83" spans="2:9" ht="15" customHeight="1" x14ac:dyDescent="0.25">
      <c r="B83" s="77" t="s">
        <v>272</v>
      </c>
      <c r="C83" s="48" t="s">
        <v>273</v>
      </c>
      <c r="D83" s="207"/>
      <c r="E83" s="207"/>
      <c r="F83" s="207"/>
      <c r="G83" s="207"/>
      <c r="H83" s="208"/>
      <c r="I83" s="214" t="str">
        <f t="shared" si="20"/>
        <v/>
      </c>
    </row>
    <row r="84" spans="2:9" ht="15" customHeight="1" x14ac:dyDescent="0.25">
      <c r="B84" s="77" t="s">
        <v>274</v>
      </c>
      <c r="C84" s="48" t="s">
        <v>275</v>
      </c>
      <c r="D84" s="207"/>
      <c r="E84" s="207"/>
      <c r="F84" s="207"/>
      <c r="G84" s="207"/>
      <c r="H84" s="208"/>
      <c r="I84" s="214" t="str">
        <f t="shared" si="20"/>
        <v/>
      </c>
    </row>
    <row r="85" spans="2:9" ht="15" customHeight="1" x14ac:dyDescent="0.25">
      <c r="B85" s="77" t="s">
        <v>276</v>
      </c>
      <c r="C85" s="48" t="s">
        <v>277</v>
      </c>
      <c r="D85" s="207"/>
      <c r="E85" s="207"/>
      <c r="F85" s="207"/>
      <c r="G85" s="207"/>
      <c r="H85" s="208"/>
      <c r="I85" s="214" t="str">
        <f t="shared" si="20"/>
        <v/>
      </c>
    </row>
    <row r="86" spans="2:9" ht="15" customHeight="1" x14ac:dyDescent="0.25">
      <c r="B86" s="77" t="s">
        <v>278</v>
      </c>
      <c r="C86" s="48" t="s">
        <v>279</v>
      </c>
      <c r="D86" s="207"/>
      <c r="E86" s="207"/>
      <c r="F86" s="207"/>
      <c r="G86" s="207"/>
      <c r="H86" s="208"/>
      <c r="I86" s="214" t="str">
        <f t="shared" si="20"/>
        <v/>
      </c>
    </row>
    <row r="87" spans="2:9" ht="15" customHeight="1" x14ac:dyDescent="0.25">
      <c r="B87" s="77" t="s">
        <v>280</v>
      </c>
      <c r="C87" s="48" t="s">
        <v>281</v>
      </c>
      <c r="D87" s="207"/>
      <c r="E87" s="207"/>
      <c r="F87" s="207"/>
      <c r="G87" s="207"/>
      <c r="H87" s="208"/>
      <c r="I87" s="214" t="str">
        <f t="shared" si="20"/>
        <v/>
      </c>
    </row>
    <row r="88" spans="2:9" ht="15" customHeight="1" x14ac:dyDescent="0.25">
      <c r="B88" s="77" t="s">
        <v>282</v>
      </c>
      <c r="C88" s="48" t="s">
        <v>283</v>
      </c>
      <c r="D88" s="207"/>
      <c r="E88" s="207"/>
      <c r="F88" s="207"/>
      <c r="G88" s="207"/>
      <c r="H88" s="208"/>
      <c r="I88" s="214" t="str">
        <f t="shared" si="20"/>
        <v/>
      </c>
    </row>
    <row r="89" spans="2:9" ht="15" customHeight="1" x14ac:dyDescent="0.25">
      <c r="B89" s="77" t="s">
        <v>284</v>
      </c>
      <c r="C89" s="48" t="s">
        <v>285</v>
      </c>
      <c r="D89" s="207"/>
      <c r="E89" s="207"/>
      <c r="F89" s="207"/>
      <c r="G89" s="207"/>
      <c r="H89" s="208"/>
      <c r="I89" s="214" t="str">
        <f t="shared" si="20"/>
        <v/>
      </c>
    </row>
    <row r="90" spans="2:9" ht="15" customHeight="1" x14ac:dyDescent="0.25">
      <c r="B90" s="77" t="s">
        <v>286</v>
      </c>
      <c r="C90" s="209"/>
      <c r="D90" s="207"/>
      <c r="E90" s="207"/>
      <c r="F90" s="207"/>
      <c r="G90" s="207"/>
      <c r="H90" s="208"/>
      <c r="I90" s="214" t="str">
        <f t="shared" si="20"/>
        <v/>
      </c>
    </row>
    <row r="91" spans="2:9" ht="15" customHeight="1" x14ac:dyDescent="0.25">
      <c r="B91" s="77" t="s">
        <v>287</v>
      </c>
      <c r="C91" s="48" t="s">
        <v>288</v>
      </c>
      <c r="D91" s="207"/>
      <c r="E91" s="207"/>
      <c r="F91" s="207"/>
      <c r="G91" s="207"/>
      <c r="H91" s="208"/>
      <c r="I91" s="214" t="str">
        <f t="shared" si="20"/>
        <v/>
      </c>
    </row>
    <row r="92" spans="2:9" ht="15" customHeight="1" x14ac:dyDescent="0.25">
      <c r="B92" s="210"/>
      <c r="C92" s="209"/>
      <c r="D92" s="207"/>
      <c r="E92" s="207"/>
      <c r="F92" s="207"/>
      <c r="G92" s="207"/>
      <c r="H92" s="208"/>
      <c r="I92" s="214" t="str">
        <f t="shared" si="20"/>
        <v/>
      </c>
    </row>
    <row r="93" spans="2:9" ht="15" customHeight="1" x14ac:dyDescent="0.25">
      <c r="B93" s="210"/>
      <c r="C93" s="209"/>
      <c r="D93" s="207"/>
      <c r="E93" s="207"/>
      <c r="F93" s="207"/>
      <c r="G93" s="207"/>
      <c r="H93" s="208"/>
      <c r="I93" s="214" t="str">
        <f t="shared" si="20"/>
        <v/>
      </c>
    </row>
    <row r="94" spans="2:9" ht="15" customHeight="1" x14ac:dyDescent="0.25">
      <c r="B94" s="73" t="s">
        <v>289</v>
      </c>
      <c r="C94" s="53" t="s">
        <v>290</v>
      </c>
      <c r="D94" s="211">
        <f>SUM(D95:D100)</f>
        <v>0</v>
      </c>
      <c r="E94" s="211">
        <f t="shared" ref="E94:H94" si="22">SUM(E95:E100)</f>
        <v>0</v>
      </c>
      <c r="F94" s="211">
        <f t="shared" si="22"/>
        <v>0</v>
      </c>
      <c r="G94" s="211">
        <f t="shared" si="22"/>
        <v>0</v>
      </c>
      <c r="H94" s="112">
        <f t="shared" si="22"/>
        <v>0</v>
      </c>
      <c r="I94" s="212" t="str">
        <f t="shared" si="20"/>
        <v/>
      </c>
    </row>
    <row r="95" spans="2:9" ht="15" customHeight="1" x14ac:dyDescent="0.25">
      <c r="B95" s="77" t="s">
        <v>291</v>
      </c>
      <c r="C95" s="48" t="s">
        <v>292</v>
      </c>
      <c r="D95" s="207"/>
      <c r="E95" s="207"/>
      <c r="F95" s="207"/>
      <c r="G95" s="207"/>
      <c r="H95" s="208"/>
      <c r="I95" s="214" t="str">
        <f t="shared" si="20"/>
        <v/>
      </c>
    </row>
    <row r="96" spans="2:9" ht="15" customHeight="1" x14ac:dyDescent="0.25">
      <c r="B96" s="77" t="s">
        <v>293</v>
      </c>
      <c r="C96" s="48" t="s">
        <v>113</v>
      </c>
      <c r="D96" s="207"/>
      <c r="E96" s="207"/>
      <c r="F96" s="207"/>
      <c r="G96" s="207"/>
      <c r="H96" s="208"/>
      <c r="I96" s="214" t="str">
        <f t="shared" si="20"/>
        <v/>
      </c>
    </row>
    <row r="97" spans="2:9" ht="15" customHeight="1" x14ac:dyDescent="0.25">
      <c r="B97" s="77" t="s">
        <v>294</v>
      </c>
      <c r="C97" s="48" t="s">
        <v>110</v>
      </c>
      <c r="D97" s="207"/>
      <c r="E97" s="207"/>
      <c r="F97" s="207"/>
      <c r="G97" s="207"/>
      <c r="H97" s="208"/>
      <c r="I97" s="214" t="str">
        <f t="shared" si="20"/>
        <v/>
      </c>
    </row>
    <row r="98" spans="2:9" ht="15" customHeight="1" x14ac:dyDescent="0.25">
      <c r="B98" s="210"/>
      <c r="C98" s="209"/>
      <c r="D98" s="207"/>
      <c r="E98" s="207"/>
      <c r="F98" s="207"/>
      <c r="G98" s="207"/>
      <c r="H98" s="208"/>
      <c r="I98" s="214" t="str">
        <f t="shared" si="20"/>
        <v/>
      </c>
    </row>
    <row r="99" spans="2:9" ht="15" customHeight="1" x14ac:dyDescent="0.25">
      <c r="B99" s="210"/>
      <c r="C99" s="209"/>
      <c r="D99" s="207"/>
      <c r="E99" s="207"/>
      <c r="F99" s="207"/>
      <c r="G99" s="207"/>
      <c r="H99" s="208"/>
      <c r="I99" s="214" t="str">
        <f t="shared" si="20"/>
        <v/>
      </c>
    </row>
    <row r="100" spans="2:9" ht="15" customHeight="1" x14ac:dyDescent="0.25">
      <c r="B100" s="210"/>
      <c r="C100" s="209"/>
      <c r="D100" s="207"/>
      <c r="E100" s="207"/>
      <c r="F100" s="207"/>
      <c r="G100" s="207"/>
      <c r="H100" s="208"/>
      <c r="I100" s="214" t="str">
        <f t="shared" si="20"/>
        <v/>
      </c>
    </row>
    <row r="101" spans="2:9" ht="15" customHeight="1" x14ac:dyDescent="0.25">
      <c r="B101" s="73" t="s">
        <v>295</v>
      </c>
      <c r="C101" s="53" t="s">
        <v>296</v>
      </c>
      <c r="D101" s="211">
        <f>SUM(D102:D112)</f>
        <v>0</v>
      </c>
      <c r="E101" s="211">
        <f t="shared" ref="E101:H101" si="23">SUM(E102:E112)</f>
        <v>0</v>
      </c>
      <c r="F101" s="211">
        <f t="shared" si="23"/>
        <v>0</v>
      </c>
      <c r="G101" s="211">
        <f t="shared" si="23"/>
        <v>0</v>
      </c>
      <c r="H101" s="112">
        <f t="shared" si="23"/>
        <v>408314.89</v>
      </c>
      <c r="I101" s="212" t="str">
        <f t="shared" si="20"/>
        <v/>
      </c>
    </row>
    <row r="102" spans="2:9" ht="15" customHeight="1" x14ac:dyDescent="0.25">
      <c r="B102" s="77" t="s">
        <v>297</v>
      </c>
      <c r="C102" s="48" t="s">
        <v>298</v>
      </c>
      <c r="D102" s="207"/>
      <c r="E102" s="207"/>
      <c r="F102" s="207"/>
      <c r="G102" s="207"/>
      <c r="H102" s="208"/>
      <c r="I102" s="214" t="str">
        <f t="shared" si="20"/>
        <v/>
      </c>
    </row>
    <row r="103" spans="2:9" ht="15" customHeight="1" x14ac:dyDescent="0.25">
      <c r="B103" s="77" t="s">
        <v>299</v>
      </c>
      <c r="C103" s="48" t="s">
        <v>300</v>
      </c>
      <c r="D103" s="207"/>
      <c r="E103" s="207"/>
      <c r="F103" s="207"/>
      <c r="G103" s="207"/>
      <c r="H103" s="208">
        <v>408314.89</v>
      </c>
      <c r="I103" s="214" t="str">
        <f t="shared" si="20"/>
        <v/>
      </c>
    </row>
    <row r="104" spans="2:9" ht="15" customHeight="1" x14ac:dyDescent="0.25">
      <c r="B104" s="77" t="s">
        <v>301</v>
      </c>
      <c r="C104" s="48" t="s">
        <v>302</v>
      </c>
      <c r="D104" s="207"/>
      <c r="E104" s="207"/>
      <c r="F104" s="207"/>
      <c r="G104" s="207"/>
      <c r="H104" s="208"/>
      <c r="I104" s="214" t="str">
        <f t="shared" si="20"/>
        <v/>
      </c>
    </row>
    <row r="105" spans="2:9" ht="15" customHeight="1" x14ac:dyDescent="0.25">
      <c r="B105" s="77" t="s">
        <v>303</v>
      </c>
      <c r="C105" s="48" t="s">
        <v>304</v>
      </c>
      <c r="D105" s="207"/>
      <c r="E105" s="207"/>
      <c r="F105" s="207"/>
      <c r="G105" s="207"/>
      <c r="H105" s="208"/>
      <c r="I105" s="214" t="str">
        <f t="shared" si="20"/>
        <v/>
      </c>
    </row>
    <row r="106" spans="2:9" ht="15" customHeight="1" x14ac:dyDescent="0.25">
      <c r="B106" s="77" t="s">
        <v>305</v>
      </c>
      <c r="C106" s="209"/>
      <c r="D106" s="207"/>
      <c r="E106" s="207"/>
      <c r="F106" s="207"/>
      <c r="G106" s="207"/>
      <c r="H106" s="208"/>
      <c r="I106" s="214" t="str">
        <f t="shared" si="20"/>
        <v/>
      </c>
    </row>
    <row r="107" spans="2:9" ht="15" customHeight="1" x14ac:dyDescent="0.25">
      <c r="B107" s="77" t="s">
        <v>306</v>
      </c>
      <c r="C107" s="209"/>
      <c r="D107" s="207"/>
      <c r="E107" s="207"/>
      <c r="F107" s="207"/>
      <c r="G107" s="207"/>
      <c r="H107" s="208"/>
      <c r="I107" s="214" t="str">
        <f t="shared" si="20"/>
        <v/>
      </c>
    </row>
    <row r="108" spans="2:9" ht="15" customHeight="1" x14ac:dyDescent="0.25">
      <c r="B108" s="77" t="s">
        <v>307</v>
      </c>
      <c r="C108" s="209"/>
      <c r="D108" s="207"/>
      <c r="E108" s="207"/>
      <c r="F108" s="207"/>
      <c r="G108" s="207"/>
      <c r="H108" s="208"/>
      <c r="I108" s="214" t="str">
        <f t="shared" si="20"/>
        <v/>
      </c>
    </row>
    <row r="109" spans="2:9" ht="15" customHeight="1" x14ac:dyDescent="0.25">
      <c r="B109" s="77" t="s">
        <v>308</v>
      </c>
      <c r="C109" s="209"/>
      <c r="D109" s="207"/>
      <c r="E109" s="207"/>
      <c r="F109" s="207"/>
      <c r="G109" s="207"/>
      <c r="H109" s="208"/>
      <c r="I109" s="214" t="str">
        <f t="shared" si="20"/>
        <v/>
      </c>
    </row>
    <row r="110" spans="2:9" ht="15" customHeight="1" x14ac:dyDescent="0.25">
      <c r="B110" s="77" t="s">
        <v>309</v>
      </c>
      <c r="C110" s="48" t="s">
        <v>310</v>
      </c>
      <c r="D110" s="207"/>
      <c r="E110" s="207"/>
      <c r="F110" s="207"/>
      <c r="G110" s="207"/>
      <c r="H110" s="208"/>
      <c r="I110" s="214" t="str">
        <f t="shared" si="20"/>
        <v/>
      </c>
    </row>
    <row r="111" spans="2:9" ht="15" customHeight="1" x14ac:dyDescent="0.25">
      <c r="B111" s="210"/>
      <c r="C111" s="209"/>
      <c r="D111" s="207"/>
      <c r="E111" s="207"/>
      <c r="F111" s="207"/>
      <c r="G111" s="207"/>
      <c r="H111" s="208"/>
      <c r="I111" s="214" t="str">
        <f t="shared" si="20"/>
        <v/>
      </c>
    </row>
    <row r="112" spans="2:9" ht="15" customHeight="1" x14ac:dyDescent="0.25">
      <c r="B112" s="210"/>
      <c r="C112" s="209"/>
      <c r="D112" s="207"/>
      <c r="E112" s="207"/>
      <c r="F112" s="207"/>
      <c r="G112" s="207"/>
      <c r="H112" s="208"/>
      <c r="I112" s="214" t="str">
        <f t="shared" si="20"/>
        <v/>
      </c>
    </row>
    <row r="113" spans="1:9" ht="15" customHeight="1" x14ac:dyDescent="0.25">
      <c r="B113" s="73" t="s">
        <v>311</v>
      </c>
      <c r="C113" s="53" t="s">
        <v>312</v>
      </c>
      <c r="D113" s="211">
        <f>SUM(D114:D123)</f>
        <v>0</v>
      </c>
      <c r="E113" s="211">
        <f t="shared" ref="E113:H113" si="24">SUM(E114:E123)</f>
        <v>0</v>
      </c>
      <c r="F113" s="211">
        <f t="shared" si="24"/>
        <v>0</v>
      </c>
      <c r="G113" s="211">
        <f t="shared" si="24"/>
        <v>0</v>
      </c>
      <c r="H113" s="112">
        <f t="shared" si="24"/>
        <v>20720.490000000002</v>
      </c>
      <c r="I113" s="212" t="str">
        <f t="shared" si="20"/>
        <v/>
      </c>
    </row>
    <row r="114" spans="1:9" ht="15" customHeight="1" x14ac:dyDescent="0.25">
      <c r="B114" s="77" t="s">
        <v>313</v>
      </c>
      <c r="C114" s="48" t="s">
        <v>314</v>
      </c>
      <c r="D114" s="207"/>
      <c r="E114" s="207"/>
      <c r="F114" s="207"/>
      <c r="G114" s="207"/>
      <c r="H114" s="208"/>
      <c r="I114" s="214" t="str">
        <f t="shared" si="20"/>
        <v/>
      </c>
    </row>
    <row r="115" spans="1:9" ht="15" customHeight="1" x14ac:dyDescent="0.25">
      <c r="B115" s="77" t="s">
        <v>315</v>
      </c>
      <c r="C115" s="209" t="s">
        <v>720</v>
      </c>
      <c r="D115" s="207"/>
      <c r="E115" s="207"/>
      <c r="F115" s="207"/>
      <c r="G115" s="207"/>
      <c r="H115" s="208">
        <v>20720.490000000002</v>
      </c>
      <c r="I115" s="214" t="str">
        <f t="shared" si="20"/>
        <v/>
      </c>
    </row>
    <row r="116" spans="1:9" ht="15" customHeight="1" x14ac:dyDescent="0.25">
      <c r="B116" s="77" t="s">
        <v>316</v>
      </c>
      <c r="C116" s="209"/>
      <c r="D116" s="207"/>
      <c r="E116" s="207"/>
      <c r="F116" s="207"/>
      <c r="G116" s="207"/>
      <c r="H116" s="208"/>
      <c r="I116" s="214" t="str">
        <f t="shared" si="20"/>
        <v/>
      </c>
    </row>
    <row r="117" spans="1:9" ht="15" customHeight="1" x14ac:dyDescent="0.25">
      <c r="B117" s="77" t="s">
        <v>317</v>
      </c>
      <c r="C117" s="48" t="s">
        <v>318</v>
      </c>
      <c r="D117" s="207"/>
      <c r="E117" s="207"/>
      <c r="F117" s="207"/>
      <c r="G117" s="207"/>
      <c r="H117" s="208"/>
      <c r="I117" s="214" t="str">
        <f t="shared" si="20"/>
        <v/>
      </c>
    </row>
    <row r="118" spans="1:9" ht="15" customHeight="1" x14ac:dyDescent="0.25">
      <c r="B118" s="77" t="s">
        <v>319</v>
      </c>
      <c r="C118" s="48" t="s">
        <v>320</v>
      </c>
      <c r="D118" s="207"/>
      <c r="E118" s="207"/>
      <c r="F118" s="207"/>
      <c r="G118" s="207"/>
      <c r="H118" s="208"/>
      <c r="I118" s="214" t="str">
        <f t="shared" si="20"/>
        <v/>
      </c>
    </row>
    <row r="119" spans="1:9" ht="15" customHeight="1" x14ac:dyDescent="0.25">
      <c r="B119" s="77" t="s">
        <v>321</v>
      </c>
      <c r="C119" s="209"/>
      <c r="D119" s="207"/>
      <c r="E119" s="207"/>
      <c r="F119" s="207"/>
      <c r="G119" s="207"/>
      <c r="H119" s="208"/>
      <c r="I119" s="214" t="str">
        <f t="shared" si="20"/>
        <v/>
      </c>
    </row>
    <row r="120" spans="1:9" ht="15" customHeight="1" x14ac:dyDescent="0.25">
      <c r="B120" s="77" t="s">
        <v>322</v>
      </c>
      <c r="C120" s="209"/>
      <c r="D120" s="207"/>
      <c r="E120" s="207"/>
      <c r="F120" s="207"/>
      <c r="G120" s="207"/>
      <c r="H120" s="208"/>
      <c r="I120" s="214" t="str">
        <f t="shared" si="20"/>
        <v/>
      </c>
    </row>
    <row r="121" spans="1:9" ht="15" customHeight="1" x14ac:dyDescent="0.25">
      <c r="B121" s="77" t="s">
        <v>286</v>
      </c>
      <c r="C121" s="48" t="s">
        <v>323</v>
      </c>
      <c r="D121" s="207"/>
      <c r="E121" s="207"/>
      <c r="F121" s="207"/>
      <c r="G121" s="207"/>
      <c r="H121" s="208"/>
      <c r="I121" s="214" t="str">
        <f t="shared" si="20"/>
        <v/>
      </c>
    </row>
    <row r="122" spans="1:9" ht="15" customHeight="1" x14ac:dyDescent="0.25">
      <c r="B122" s="210"/>
      <c r="C122" s="209"/>
      <c r="D122" s="207"/>
      <c r="E122" s="207"/>
      <c r="F122" s="207"/>
      <c r="G122" s="207"/>
      <c r="H122" s="208"/>
      <c r="I122" s="214" t="str">
        <f t="shared" si="20"/>
        <v/>
      </c>
    </row>
    <row r="123" spans="1:9" ht="15" customHeight="1" x14ac:dyDescent="0.25">
      <c r="B123" s="210"/>
      <c r="C123" s="209"/>
      <c r="D123" s="207"/>
      <c r="E123" s="207"/>
      <c r="F123" s="207"/>
      <c r="G123" s="207"/>
      <c r="H123" s="208"/>
      <c r="I123" s="214" t="str">
        <f t="shared" si="20"/>
        <v/>
      </c>
    </row>
    <row r="124" spans="1:9" ht="21" customHeight="1" x14ac:dyDescent="0.25">
      <c r="B124" s="449" t="s">
        <v>424</v>
      </c>
      <c r="C124" s="450"/>
      <c r="D124" s="118">
        <f>D14+D18+D30+D67+D75+D82+D94+D101+D113</f>
        <v>0</v>
      </c>
      <c r="E124" s="119">
        <f>E14+E18+E30+E67+E75+E82+E94+E101+E113</f>
        <v>0</v>
      </c>
      <c r="F124" s="119">
        <f>F14+F18+F30+F67+F75+F82+F94+F101+F113</f>
        <v>0</v>
      </c>
      <c r="G124" s="119">
        <f>G14+G18+G30+G67+G75+G82+G94+G101+G113</f>
        <v>0</v>
      </c>
      <c r="H124" s="119">
        <f>H14+H18+H30+H67+H75+H82+H94+H101+H113</f>
        <v>7143006.0300000003</v>
      </c>
      <c r="I124" s="120" t="str">
        <f t="shared" si="20"/>
        <v/>
      </c>
    </row>
    <row r="125" spans="1:9" ht="15" customHeight="1" x14ac:dyDescent="0.25">
      <c r="A125" s="81"/>
      <c r="B125" s="81"/>
      <c r="C125" s="81"/>
      <c r="D125" s="81"/>
      <c r="E125" s="81"/>
      <c r="F125" s="81"/>
      <c r="G125" s="81"/>
      <c r="H125" s="81"/>
      <c r="I125" s="81"/>
    </row>
    <row r="126" spans="1:9" ht="15" customHeight="1" x14ac:dyDescent="0.25">
      <c r="A126" s="81"/>
      <c r="B126" s="81"/>
      <c r="C126" s="81"/>
      <c r="D126" s="81"/>
      <c r="E126" s="81"/>
      <c r="F126" s="81"/>
      <c r="G126" s="81"/>
      <c r="H126" s="122" t="s">
        <v>432</v>
      </c>
      <c r="I126" s="121" t="str">
        <f>IF(COVER!$K$6&lt;&gt;"",CONCATENATE("milhares ",COVER!$K$6),"")</f>
        <v>milhares MZN</v>
      </c>
    </row>
    <row r="127" spans="1:9" s="31" customFormat="1" ht="31.5" customHeight="1" x14ac:dyDescent="0.25">
      <c r="B127" s="67"/>
      <c r="C127" s="102"/>
      <c r="D127" s="68">
        <f>IF(E127&lt;&gt;"",E127-1,"")</f>
        <v>2017</v>
      </c>
      <c r="E127" s="68">
        <f>IF(F127&lt;&gt;"",F127-1,"")</f>
        <v>2018</v>
      </c>
      <c r="F127" s="68">
        <f>IF(G127&lt;&gt;"",G127-1,"")</f>
        <v>2019</v>
      </c>
      <c r="G127" s="68">
        <f>IF(H127&lt;&gt;"",H127-1,"")</f>
        <v>2020</v>
      </c>
      <c r="H127" s="69">
        <f>$F$3</f>
        <v>2021</v>
      </c>
      <c r="I127" s="70" t="str">
        <f>IF(AND(G127&lt;&gt;"",H127&lt;&gt;""),CONCATENATE("Variação % (",H127,"/",G127,")"),"")</f>
        <v>Variação % (2021/2020)</v>
      </c>
    </row>
    <row r="128" spans="1:9" ht="15" customHeight="1" x14ac:dyDescent="0.25">
      <c r="A128" s="81"/>
      <c r="B128" s="81"/>
      <c r="C128" s="81"/>
      <c r="D128" s="81"/>
      <c r="E128" s="81"/>
      <c r="F128" s="81"/>
      <c r="G128" s="81"/>
      <c r="I128" s="3"/>
    </row>
    <row r="129" spans="2:9" ht="21" customHeight="1" x14ac:dyDescent="0.25">
      <c r="B129" s="370" t="s">
        <v>423</v>
      </c>
      <c r="C129" s="370"/>
      <c r="D129" s="371"/>
      <c r="E129" s="371"/>
      <c r="F129" s="371"/>
      <c r="G129" s="371"/>
      <c r="H129" s="371"/>
      <c r="I129" s="372"/>
    </row>
    <row r="130" spans="2:9" ht="15" customHeight="1" x14ac:dyDescent="0.25">
      <c r="B130" s="72"/>
      <c r="C130" s="51"/>
      <c r="D130" s="91"/>
      <c r="E130" s="91"/>
      <c r="F130" s="91"/>
      <c r="G130" s="91"/>
      <c r="H130" s="107"/>
      <c r="I130" s="215"/>
    </row>
    <row r="131" spans="2:9" ht="15" customHeight="1" x14ac:dyDescent="0.25">
      <c r="B131" s="73" t="s">
        <v>324</v>
      </c>
      <c r="C131" s="53" t="s">
        <v>325</v>
      </c>
      <c r="D131" s="211">
        <f>SUM(D132:D142)</f>
        <v>0</v>
      </c>
      <c r="E131" s="211">
        <f t="shared" ref="E131:H131" si="25">SUM(E132:E142)</f>
        <v>0</v>
      </c>
      <c r="F131" s="211">
        <f t="shared" si="25"/>
        <v>0</v>
      </c>
      <c r="G131" s="211">
        <f t="shared" si="25"/>
        <v>0</v>
      </c>
      <c r="H131" s="112">
        <f t="shared" si="25"/>
        <v>0</v>
      </c>
      <c r="I131" s="212" t="str">
        <f t="shared" ref="I131:I194" si="26">IFERROR(IF(AND(G131&lt;0,H131&lt;=0),-(H131-G131)/G131,IF(AND(G131&lt;0,H131&gt;0),-(H131-G131)/G131,(H131-G131)/G131)),"")</f>
        <v/>
      </c>
    </row>
    <row r="132" spans="2:9" ht="15" customHeight="1" x14ac:dyDescent="0.25">
      <c r="B132" s="77" t="s">
        <v>326</v>
      </c>
      <c r="C132" s="48" t="s">
        <v>327</v>
      </c>
      <c r="D132" s="207"/>
      <c r="E132" s="207"/>
      <c r="F132" s="207"/>
      <c r="G132" s="207"/>
      <c r="H132" s="208"/>
      <c r="I132" s="214" t="str">
        <f t="shared" si="26"/>
        <v/>
      </c>
    </row>
    <row r="133" spans="2:9" ht="15" customHeight="1" x14ac:dyDescent="0.25">
      <c r="B133" s="77" t="s">
        <v>328</v>
      </c>
      <c r="C133" s="48" t="s">
        <v>329</v>
      </c>
      <c r="D133" s="207"/>
      <c r="E133" s="207"/>
      <c r="F133" s="207"/>
      <c r="G133" s="207"/>
      <c r="H133" s="208"/>
      <c r="I133" s="214" t="str">
        <f t="shared" si="26"/>
        <v/>
      </c>
    </row>
    <row r="134" spans="2:9" ht="15" customHeight="1" x14ac:dyDescent="0.25">
      <c r="B134" s="77" t="s">
        <v>330</v>
      </c>
      <c r="C134" s="48" t="s">
        <v>331</v>
      </c>
      <c r="D134" s="207"/>
      <c r="E134" s="207"/>
      <c r="F134" s="207"/>
      <c r="G134" s="207"/>
      <c r="H134" s="208"/>
      <c r="I134" s="214" t="str">
        <f t="shared" si="26"/>
        <v/>
      </c>
    </row>
    <row r="135" spans="2:9" ht="15" customHeight="1" x14ac:dyDescent="0.25">
      <c r="B135" s="77" t="s">
        <v>332</v>
      </c>
      <c r="C135" s="48" t="s">
        <v>110</v>
      </c>
      <c r="D135" s="207"/>
      <c r="E135" s="207"/>
      <c r="F135" s="207"/>
      <c r="G135" s="207"/>
      <c r="H135" s="208"/>
      <c r="I135" s="214" t="str">
        <f t="shared" si="26"/>
        <v/>
      </c>
    </row>
    <row r="136" spans="2:9" ht="15" customHeight="1" x14ac:dyDescent="0.25">
      <c r="B136" s="77" t="s">
        <v>333</v>
      </c>
      <c r="C136" s="48" t="s">
        <v>334</v>
      </c>
      <c r="D136" s="207"/>
      <c r="E136" s="207"/>
      <c r="F136" s="207"/>
      <c r="G136" s="207"/>
      <c r="H136" s="208"/>
      <c r="I136" s="214" t="str">
        <f t="shared" si="26"/>
        <v/>
      </c>
    </row>
    <row r="137" spans="2:9" ht="15" customHeight="1" x14ac:dyDescent="0.25">
      <c r="B137" s="77" t="s">
        <v>335</v>
      </c>
      <c r="C137" s="48" t="s">
        <v>336</v>
      </c>
      <c r="D137" s="207"/>
      <c r="E137" s="207"/>
      <c r="F137" s="207"/>
      <c r="G137" s="207"/>
      <c r="H137" s="208"/>
      <c r="I137" s="214" t="str">
        <f t="shared" si="26"/>
        <v/>
      </c>
    </row>
    <row r="138" spans="2:9" ht="15" customHeight="1" x14ac:dyDescent="0.25">
      <c r="B138" s="77" t="s">
        <v>337</v>
      </c>
      <c r="C138" s="48" t="s">
        <v>338</v>
      </c>
      <c r="D138" s="207"/>
      <c r="E138" s="207"/>
      <c r="F138" s="207"/>
      <c r="G138" s="207"/>
      <c r="H138" s="208"/>
      <c r="I138" s="214" t="str">
        <f t="shared" si="26"/>
        <v/>
      </c>
    </row>
    <row r="139" spans="2:9" ht="15" customHeight="1" x14ac:dyDescent="0.25">
      <c r="B139" s="77" t="s">
        <v>339</v>
      </c>
      <c r="C139" s="209"/>
      <c r="D139" s="207"/>
      <c r="E139" s="207"/>
      <c r="F139" s="207"/>
      <c r="G139" s="207"/>
      <c r="H139" s="208"/>
      <c r="I139" s="214" t="str">
        <f t="shared" si="26"/>
        <v/>
      </c>
    </row>
    <row r="140" spans="2:9" ht="15" customHeight="1" x14ac:dyDescent="0.25">
      <c r="B140" s="77" t="s">
        <v>340</v>
      </c>
      <c r="C140" s="209"/>
      <c r="D140" s="207"/>
      <c r="E140" s="207"/>
      <c r="F140" s="207"/>
      <c r="G140" s="207"/>
      <c r="H140" s="208"/>
      <c r="I140" s="214" t="str">
        <f t="shared" si="26"/>
        <v/>
      </c>
    </row>
    <row r="141" spans="2:9" ht="15" customHeight="1" x14ac:dyDescent="0.25">
      <c r="B141" s="210"/>
      <c r="C141" s="209"/>
      <c r="D141" s="207"/>
      <c r="E141" s="207"/>
      <c r="F141" s="207"/>
      <c r="G141" s="207"/>
      <c r="H141" s="208"/>
      <c r="I141" s="214" t="str">
        <f t="shared" si="26"/>
        <v/>
      </c>
    </row>
    <row r="142" spans="2:9" ht="15" customHeight="1" x14ac:dyDescent="0.25">
      <c r="B142" s="210"/>
      <c r="C142" s="209"/>
      <c r="D142" s="207"/>
      <c r="E142" s="207"/>
      <c r="F142" s="207"/>
      <c r="G142" s="207"/>
      <c r="H142" s="208"/>
      <c r="I142" s="214" t="str">
        <f t="shared" si="26"/>
        <v/>
      </c>
    </row>
    <row r="143" spans="2:9" ht="15" customHeight="1" x14ac:dyDescent="0.25">
      <c r="B143" s="73" t="s">
        <v>341</v>
      </c>
      <c r="C143" s="53" t="s">
        <v>342</v>
      </c>
      <c r="D143" s="211">
        <f>SUM(D144:D152)</f>
        <v>0</v>
      </c>
      <c r="E143" s="211">
        <f t="shared" ref="E143:H143" si="27">SUM(E144:E152)</f>
        <v>0</v>
      </c>
      <c r="F143" s="211">
        <f t="shared" si="27"/>
        <v>0</v>
      </c>
      <c r="G143" s="211">
        <f t="shared" si="27"/>
        <v>0</v>
      </c>
      <c r="H143" s="112">
        <f t="shared" si="27"/>
        <v>732600</v>
      </c>
      <c r="I143" s="212" t="str">
        <f t="shared" si="26"/>
        <v/>
      </c>
    </row>
    <row r="144" spans="2:9" ht="15" customHeight="1" x14ac:dyDescent="0.25">
      <c r="B144" s="77" t="s">
        <v>343</v>
      </c>
      <c r="C144" s="48" t="s">
        <v>344</v>
      </c>
      <c r="D144" s="207"/>
      <c r="E144" s="207"/>
      <c r="F144" s="207"/>
      <c r="G144" s="207"/>
      <c r="H144" s="208"/>
      <c r="I144" s="214" t="str">
        <f t="shared" si="26"/>
        <v/>
      </c>
    </row>
    <row r="145" spans="2:9" ht="15" customHeight="1" x14ac:dyDescent="0.25">
      <c r="B145" s="77" t="s">
        <v>345</v>
      </c>
      <c r="C145" s="209" t="s">
        <v>719</v>
      </c>
      <c r="D145" s="207"/>
      <c r="E145" s="207"/>
      <c r="F145" s="207"/>
      <c r="G145" s="207"/>
      <c r="H145" s="208">
        <v>732600</v>
      </c>
      <c r="I145" s="214" t="str">
        <f t="shared" si="26"/>
        <v/>
      </c>
    </row>
    <row r="146" spans="2:9" ht="15" customHeight="1" x14ac:dyDescent="0.25">
      <c r="B146" s="77" t="s">
        <v>346</v>
      </c>
      <c r="C146" s="209"/>
      <c r="D146" s="207"/>
      <c r="E146" s="207"/>
      <c r="F146" s="207"/>
      <c r="G146" s="207"/>
      <c r="H146" s="208"/>
      <c r="I146" s="214" t="str">
        <f t="shared" si="26"/>
        <v/>
      </c>
    </row>
    <row r="147" spans="2:9" ht="15" customHeight="1" x14ac:dyDescent="0.25">
      <c r="B147" s="77" t="s">
        <v>347</v>
      </c>
      <c r="C147" s="209"/>
      <c r="D147" s="207"/>
      <c r="E147" s="207"/>
      <c r="F147" s="207"/>
      <c r="G147" s="207"/>
      <c r="H147" s="208"/>
      <c r="I147" s="214" t="str">
        <f t="shared" si="26"/>
        <v/>
      </c>
    </row>
    <row r="148" spans="2:9" ht="15" customHeight="1" x14ac:dyDescent="0.25">
      <c r="B148" s="77" t="s">
        <v>348</v>
      </c>
      <c r="C148" s="209"/>
      <c r="D148" s="207"/>
      <c r="E148" s="207"/>
      <c r="F148" s="207"/>
      <c r="G148" s="207"/>
      <c r="H148" s="208"/>
      <c r="I148" s="214" t="str">
        <f t="shared" si="26"/>
        <v/>
      </c>
    </row>
    <row r="149" spans="2:9" ht="15" customHeight="1" x14ac:dyDescent="0.25">
      <c r="B149" s="77" t="s">
        <v>349</v>
      </c>
      <c r="C149" s="48" t="s">
        <v>338</v>
      </c>
      <c r="D149" s="207"/>
      <c r="E149" s="207"/>
      <c r="F149" s="207"/>
      <c r="G149" s="207"/>
      <c r="H149" s="208"/>
      <c r="I149" s="214" t="str">
        <f t="shared" si="26"/>
        <v/>
      </c>
    </row>
    <row r="150" spans="2:9" ht="15" customHeight="1" x14ac:dyDescent="0.25">
      <c r="B150" s="210"/>
      <c r="C150" s="209"/>
      <c r="D150" s="207"/>
      <c r="E150" s="207"/>
      <c r="F150" s="207"/>
      <c r="G150" s="207"/>
      <c r="H150" s="208"/>
      <c r="I150" s="214" t="str">
        <f t="shared" si="26"/>
        <v/>
      </c>
    </row>
    <row r="151" spans="2:9" ht="15" customHeight="1" x14ac:dyDescent="0.25">
      <c r="B151" s="210"/>
      <c r="C151" s="209"/>
      <c r="D151" s="207"/>
      <c r="E151" s="207"/>
      <c r="F151" s="207"/>
      <c r="G151" s="207"/>
      <c r="H151" s="208"/>
      <c r="I151" s="214" t="str">
        <f t="shared" si="26"/>
        <v/>
      </c>
    </row>
    <row r="152" spans="2:9" ht="15" customHeight="1" x14ac:dyDescent="0.25">
      <c r="B152" s="210"/>
      <c r="C152" s="209"/>
      <c r="D152" s="207"/>
      <c r="E152" s="207"/>
      <c r="F152" s="207"/>
      <c r="G152" s="207"/>
      <c r="H152" s="208"/>
      <c r="I152" s="214" t="str">
        <f t="shared" si="26"/>
        <v/>
      </c>
    </row>
    <row r="153" spans="2:9" ht="15" customHeight="1" x14ac:dyDescent="0.25">
      <c r="B153" s="73" t="s">
        <v>350</v>
      </c>
      <c r="C153" s="53" t="s">
        <v>351</v>
      </c>
      <c r="D153" s="211">
        <f>SUM(D154:D160)</f>
        <v>0</v>
      </c>
      <c r="E153" s="211">
        <f t="shared" ref="E153:H153" si="28">SUM(E154:E160)</f>
        <v>0</v>
      </c>
      <c r="F153" s="211">
        <f t="shared" si="28"/>
        <v>0</v>
      </c>
      <c r="G153" s="211">
        <f t="shared" si="28"/>
        <v>0</v>
      </c>
      <c r="H153" s="112">
        <f t="shared" si="28"/>
        <v>0</v>
      </c>
      <c r="I153" s="212" t="str">
        <f t="shared" si="26"/>
        <v/>
      </c>
    </row>
    <row r="154" spans="2:9" ht="15" customHeight="1" x14ac:dyDescent="0.25">
      <c r="B154" s="77" t="s">
        <v>352</v>
      </c>
      <c r="C154" s="48" t="s">
        <v>262</v>
      </c>
      <c r="D154" s="207"/>
      <c r="E154" s="207"/>
      <c r="F154" s="207"/>
      <c r="G154" s="207"/>
      <c r="H154" s="208"/>
      <c r="I154" s="214" t="str">
        <f t="shared" si="26"/>
        <v/>
      </c>
    </row>
    <row r="155" spans="2:9" ht="15" customHeight="1" x14ac:dyDescent="0.25">
      <c r="B155" s="77" t="s">
        <v>353</v>
      </c>
      <c r="C155" s="48" t="s">
        <v>354</v>
      </c>
      <c r="D155" s="207"/>
      <c r="E155" s="207"/>
      <c r="F155" s="207"/>
      <c r="G155" s="207"/>
      <c r="H155" s="208"/>
      <c r="I155" s="214" t="str">
        <f t="shared" si="26"/>
        <v/>
      </c>
    </row>
    <row r="156" spans="2:9" ht="15" customHeight="1" x14ac:dyDescent="0.25">
      <c r="B156" s="77" t="s">
        <v>355</v>
      </c>
      <c r="C156" s="48" t="s">
        <v>356</v>
      </c>
      <c r="D156" s="207"/>
      <c r="E156" s="207"/>
      <c r="F156" s="207"/>
      <c r="G156" s="207"/>
      <c r="H156" s="208"/>
      <c r="I156" s="214" t="str">
        <f t="shared" si="26"/>
        <v/>
      </c>
    </row>
    <row r="157" spans="2:9" ht="15" customHeight="1" x14ac:dyDescent="0.25">
      <c r="B157" s="77" t="s">
        <v>357</v>
      </c>
      <c r="C157" s="48" t="s">
        <v>698</v>
      </c>
      <c r="D157" s="207"/>
      <c r="E157" s="207"/>
      <c r="F157" s="207"/>
      <c r="G157" s="207"/>
      <c r="H157" s="208"/>
      <c r="I157" s="214" t="str">
        <f t="shared" si="26"/>
        <v/>
      </c>
    </row>
    <row r="158" spans="2:9" ht="15" customHeight="1" x14ac:dyDescent="0.25">
      <c r="B158" s="210"/>
      <c r="C158" s="209"/>
      <c r="D158" s="207"/>
      <c r="E158" s="207"/>
      <c r="F158" s="207"/>
      <c r="G158" s="207"/>
      <c r="H158" s="208"/>
      <c r="I158" s="214" t="str">
        <f t="shared" si="26"/>
        <v/>
      </c>
    </row>
    <row r="159" spans="2:9" ht="15" customHeight="1" x14ac:dyDescent="0.25">
      <c r="B159" s="210"/>
      <c r="C159" s="209"/>
      <c r="D159" s="207"/>
      <c r="E159" s="207"/>
      <c r="F159" s="207"/>
      <c r="G159" s="207"/>
      <c r="H159" s="208"/>
      <c r="I159" s="214" t="str">
        <f t="shared" si="26"/>
        <v/>
      </c>
    </row>
    <row r="160" spans="2:9" ht="15" customHeight="1" x14ac:dyDescent="0.25">
      <c r="B160" s="210"/>
      <c r="C160" s="209"/>
      <c r="D160" s="207"/>
      <c r="E160" s="207"/>
      <c r="F160" s="207"/>
      <c r="G160" s="207"/>
      <c r="H160" s="208"/>
      <c r="I160" s="214" t="str">
        <f t="shared" si="26"/>
        <v/>
      </c>
    </row>
    <row r="161" spans="2:9" ht="15" customHeight="1" x14ac:dyDescent="0.25">
      <c r="B161" s="73" t="s">
        <v>358</v>
      </c>
      <c r="C161" s="53" t="s">
        <v>359</v>
      </c>
      <c r="D161" s="211">
        <f>SUM(D162:D166)</f>
        <v>0</v>
      </c>
      <c r="E161" s="211">
        <f t="shared" ref="E161:H161" si="29">SUM(E162:E166)</f>
        <v>0</v>
      </c>
      <c r="F161" s="211">
        <f t="shared" si="29"/>
        <v>0</v>
      </c>
      <c r="G161" s="211">
        <f t="shared" si="29"/>
        <v>0</v>
      </c>
      <c r="H161" s="112">
        <f t="shared" si="29"/>
        <v>0</v>
      </c>
      <c r="I161" s="212" t="str">
        <f t="shared" si="26"/>
        <v/>
      </c>
    </row>
    <row r="162" spans="2:9" ht="15" customHeight="1" x14ac:dyDescent="0.25">
      <c r="B162" s="77" t="s">
        <v>360</v>
      </c>
      <c r="C162" s="48" t="s">
        <v>361</v>
      </c>
      <c r="D162" s="207"/>
      <c r="E162" s="207"/>
      <c r="F162" s="207"/>
      <c r="G162" s="207"/>
      <c r="H162" s="208"/>
      <c r="I162" s="214" t="str">
        <f t="shared" si="26"/>
        <v/>
      </c>
    </row>
    <row r="163" spans="2:9" ht="15" customHeight="1" x14ac:dyDescent="0.25">
      <c r="B163" s="77" t="s">
        <v>362</v>
      </c>
      <c r="C163" s="48" t="s">
        <v>363</v>
      </c>
      <c r="D163" s="207"/>
      <c r="E163" s="207"/>
      <c r="F163" s="207"/>
      <c r="G163" s="207"/>
      <c r="H163" s="208"/>
      <c r="I163" s="214" t="str">
        <f t="shared" si="26"/>
        <v/>
      </c>
    </row>
    <row r="164" spans="2:9" ht="15" customHeight="1" x14ac:dyDescent="0.25">
      <c r="B164" s="77" t="s">
        <v>364</v>
      </c>
      <c r="C164" s="48" t="s">
        <v>365</v>
      </c>
      <c r="D164" s="207"/>
      <c r="E164" s="207"/>
      <c r="F164" s="207"/>
      <c r="G164" s="207"/>
      <c r="H164" s="208"/>
      <c r="I164" s="214" t="str">
        <f t="shared" si="26"/>
        <v/>
      </c>
    </row>
    <row r="165" spans="2:9" ht="15" customHeight="1" x14ac:dyDescent="0.25">
      <c r="B165" s="210"/>
      <c r="C165" s="209"/>
      <c r="D165" s="207"/>
      <c r="E165" s="207"/>
      <c r="F165" s="207"/>
      <c r="G165" s="207"/>
      <c r="H165" s="208"/>
      <c r="I165" s="214" t="str">
        <f t="shared" si="26"/>
        <v/>
      </c>
    </row>
    <row r="166" spans="2:9" ht="15" customHeight="1" x14ac:dyDescent="0.25">
      <c r="B166" s="210"/>
      <c r="C166" s="209"/>
      <c r="D166" s="207"/>
      <c r="E166" s="207"/>
      <c r="F166" s="207"/>
      <c r="G166" s="207"/>
      <c r="H166" s="208"/>
      <c r="I166" s="214" t="str">
        <f t="shared" si="26"/>
        <v/>
      </c>
    </row>
    <row r="167" spans="2:9" ht="15" customHeight="1" x14ac:dyDescent="0.25">
      <c r="B167" s="73" t="s">
        <v>366</v>
      </c>
      <c r="C167" s="53" t="s">
        <v>367</v>
      </c>
      <c r="D167" s="211">
        <f>SUM(D168:D178)</f>
        <v>0</v>
      </c>
      <c r="E167" s="211">
        <f t="shared" ref="E167:H167" si="30">SUM(E168:E178)</f>
        <v>0</v>
      </c>
      <c r="F167" s="211">
        <f t="shared" si="30"/>
        <v>0</v>
      </c>
      <c r="G167" s="211">
        <f t="shared" si="30"/>
        <v>0</v>
      </c>
      <c r="H167" s="112">
        <f t="shared" si="30"/>
        <v>0</v>
      </c>
      <c r="I167" s="212" t="str">
        <f t="shared" si="26"/>
        <v/>
      </c>
    </row>
    <row r="168" spans="2:9" ht="15" customHeight="1" x14ac:dyDescent="0.25">
      <c r="B168" s="77" t="s">
        <v>368</v>
      </c>
      <c r="C168" s="48" t="s">
        <v>369</v>
      </c>
      <c r="D168" s="207"/>
      <c r="E168" s="207"/>
      <c r="F168" s="207"/>
      <c r="G168" s="207"/>
      <c r="H168" s="208"/>
      <c r="I168" s="214" t="str">
        <f t="shared" si="26"/>
        <v/>
      </c>
    </row>
    <row r="169" spans="2:9" ht="15" customHeight="1" x14ac:dyDescent="0.25">
      <c r="B169" s="77" t="s">
        <v>370</v>
      </c>
      <c r="C169" s="48" t="s">
        <v>371</v>
      </c>
      <c r="D169" s="207"/>
      <c r="E169" s="207"/>
      <c r="F169" s="207"/>
      <c r="G169" s="207"/>
      <c r="H169" s="208"/>
      <c r="I169" s="214" t="str">
        <f t="shared" si="26"/>
        <v/>
      </c>
    </row>
    <row r="170" spans="2:9" ht="15" customHeight="1" x14ac:dyDescent="0.25">
      <c r="B170" s="77" t="s">
        <v>372</v>
      </c>
      <c r="C170" s="48" t="s">
        <v>373</v>
      </c>
      <c r="D170" s="207"/>
      <c r="E170" s="207"/>
      <c r="F170" s="207"/>
      <c r="G170" s="207"/>
      <c r="H170" s="208"/>
      <c r="I170" s="214" t="str">
        <f t="shared" si="26"/>
        <v/>
      </c>
    </row>
    <row r="171" spans="2:9" ht="15" customHeight="1" x14ac:dyDescent="0.25">
      <c r="B171" s="77" t="s">
        <v>374</v>
      </c>
      <c r="C171" s="48" t="s">
        <v>375</v>
      </c>
      <c r="D171" s="207"/>
      <c r="E171" s="207"/>
      <c r="F171" s="207"/>
      <c r="G171" s="207"/>
      <c r="H171" s="208"/>
      <c r="I171" s="214" t="str">
        <f t="shared" si="26"/>
        <v/>
      </c>
    </row>
    <row r="172" spans="2:9" ht="15" customHeight="1" x14ac:dyDescent="0.25">
      <c r="B172" s="77" t="s">
        <v>376</v>
      </c>
      <c r="C172" s="48" t="s">
        <v>377</v>
      </c>
      <c r="D172" s="207"/>
      <c r="E172" s="207"/>
      <c r="F172" s="207"/>
      <c r="G172" s="207"/>
      <c r="H172" s="208"/>
      <c r="I172" s="214" t="str">
        <f t="shared" si="26"/>
        <v/>
      </c>
    </row>
    <row r="173" spans="2:9" ht="15" customHeight="1" x14ac:dyDescent="0.25">
      <c r="B173" s="77" t="s">
        <v>378</v>
      </c>
      <c r="C173" s="48" t="s">
        <v>246</v>
      </c>
      <c r="D173" s="207"/>
      <c r="E173" s="207"/>
      <c r="F173" s="207"/>
      <c r="G173" s="207"/>
      <c r="H173" s="208"/>
      <c r="I173" s="214" t="str">
        <f t="shared" si="26"/>
        <v/>
      </c>
    </row>
    <row r="174" spans="2:9" ht="15" customHeight="1" x14ac:dyDescent="0.25">
      <c r="B174" s="77" t="s">
        <v>379</v>
      </c>
      <c r="C174" s="209"/>
      <c r="D174" s="207"/>
      <c r="E174" s="207"/>
      <c r="F174" s="207"/>
      <c r="G174" s="207"/>
      <c r="H174" s="208"/>
      <c r="I174" s="214" t="str">
        <f t="shared" si="26"/>
        <v/>
      </c>
    </row>
    <row r="175" spans="2:9" ht="15" customHeight="1" x14ac:dyDescent="0.25">
      <c r="B175" s="77" t="s">
        <v>380</v>
      </c>
      <c r="C175" s="209"/>
      <c r="D175" s="207"/>
      <c r="E175" s="207"/>
      <c r="F175" s="207"/>
      <c r="G175" s="207"/>
      <c r="H175" s="208"/>
      <c r="I175" s="214" t="str">
        <f t="shared" si="26"/>
        <v/>
      </c>
    </row>
    <row r="176" spans="2:9" ht="15" customHeight="1" x14ac:dyDescent="0.25">
      <c r="B176" s="77" t="s">
        <v>381</v>
      </c>
      <c r="C176" s="48" t="s">
        <v>382</v>
      </c>
      <c r="D176" s="207"/>
      <c r="E176" s="207"/>
      <c r="F176" s="207"/>
      <c r="G176" s="207"/>
      <c r="H176" s="208"/>
      <c r="I176" s="214" t="str">
        <f t="shared" si="26"/>
        <v/>
      </c>
    </row>
    <row r="177" spans="2:9" ht="15" customHeight="1" x14ac:dyDescent="0.25">
      <c r="B177" s="210"/>
      <c r="C177" s="209"/>
      <c r="D177" s="207"/>
      <c r="E177" s="207"/>
      <c r="F177" s="207"/>
      <c r="G177" s="207"/>
      <c r="H177" s="208"/>
      <c r="I177" s="214" t="str">
        <f t="shared" si="26"/>
        <v/>
      </c>
    </row>
    <row r="178" spans="2:9" ht="15" customHeight="1" x14ac:dyDescent="0.25">
      <c r="B178" s="210"/>
      <c r="C178" s="209"/>
      <c r="D178" s="207"/>
      <c r="E178" s="207"/>
      <c r="F178" s="207"/>
      <c r="G178" s="207"/>
      <c r="H178" s="208"/>
      <c r="I178" s="214" t="str">
        <f t="shared" si="26"/>
        <v/>
      </c>
    </row>
    <row r="179" spans="2:9" ht="15" customHeight="1" x14ac:dyDescent="0.25">
      <c r="B179" s="73" t="s">
        <v>383</v>
      </c>
      <c r="C179" s="53" t="s">
        <v>384</v>
      </c>
      <c r="D179" s="211">
        <f>SUM(D180:D190)</f>
        <v>0</v>
      </c>
      <c r="E179" s="211">
        <f t="shared" ref="E179:H179" si="31">SUM(E180:E190)</f>
        <v>0</v>
      </c>
      <c r="F179" s="211">
        <f t="shared" si="31"/>
        <v>0</v>
      </c>
      <c r="G179" s="211">
        <f t="shared" si="31"/>
        <v>0</v>
      </c>
      <c r="H179" s="112">
        <f t="shared" si="31"/>
        <v>0</v>
      </c>
      <c r="I179" s="212" t="str">
        <f t="shared" si="26"/>
        <v/>
      </c>
    </row>
    <row r="180" spans="2:9" ht="15" customHeight="1" x14ac:dyDescent="0.25">
      <c r="B180" s="77" t="s">
        <v>385</v>
      </c>
      <c r="C180" s="48" t="s">
        <v>386</v>
      </c>
      <c r="D180" s="207"/>
      <c r="E180" s="207"/>
      <c r="F180" s="207"/>
      <c r="G180" s="207"/>
      <c r="H180" s="208"/>
      <c r="I180" s="214" t="str">
        <f t="shared" si="26"/>
        <v/>
      </c>
    </row>
    <row r="181" spans="2:9" ht="15" customHeight="1" x14ac:dyDescent="0.25">
      <c r="B181" s="77" t="s">
        <v>387</v>
      </c>
      <c r="C181" s="48" t="s">
        <v>388</v>
      </c>
      <c r="D181" s="207"/>
      <c r="E181" s="207"/>
      <c r="F181" s="207"/>
      <c r="G181" s="207"/>
      <c r="H181" s="208"/>
      <c r="I181" s="214" t="str">
        <f t="shared" si="26"/>
        <v/>
      </c>
    </row>
    <row r="182" spans="2:9" ht="15" customHeight="1" x14ac:dyDescent="0.25">
      <c r="B182" s="77" t="s">
        <v>389</v>
      </c>
      <c r="C182" s="48" t="s">
        <v>390</v>
      </c>
      <c r="D182" s="207"/>
      <c r="E182" s="207"/>
      <c r="F182" s="207"/>
      <c r="G182" s="207"/>
      <c r="H182" s="208"/>
      <c r="I182" s="214" t="str">
        <f t="shared" si="26"/>
        <v/>
      </c>
    </row>
    <row r="183" spans="2:9" ht="15" customHeight="1" x14ac:dyDescent="0.25">
      <c r="B183" s="77" t="s">
        <v>391</v>
      </c>
      <c r="C183" s="48" t="s">
        <v>392</v>
      </c>
      <c r="D183" s="207"/>
      <c r="E183" s="207"/>
      <c r="F183" s="207"/>
      <c r="G183" s="207"/>
      <c r="H183" s="208"/>
      <c r="I183" s="214" t="str">
        <f t="shared" si="26"/>
        <v/>
      </c>
    </row>
    <row r="184" spans="2:9" ht="15" customHeight="1" x14ac:dyDescent="0.25">
      <c r="B184" s="77" t="s">
        <v>393</v>
      </c>
      <c r="C184" s="209"/>
      <c r="D184" s="207"/>
      <c r="E184" s="207"/>
      <c r="F184" s="207"/>
      <c r="G184" s="207"/>
      <c r="H184" s="208"/>
      <c r="I184" s="214" t="str">
        <f t="shared" si="26"/>
        <v/>
      </c>
    </row>
    <row r="185" spans="2:9" ht="15" customHeight="1" x14ac:dyDescent="0.25">
      <c r="B185" s="77" t="s">
        <v>394</v>
      </c>
      <c r="C185" s="209"/>
      <c r="D185" s="207"/>
      <c r="E185" s="207"/>
      <c r="F185" s="207"/>
      <c r="G185" s="207"/>
      <c r="H185" s="208"/>
      <c r="I185" s="214" t="str">
        <f t="shared" si="26"/>
        <v/>
      </c>
    </row>
    <row r="186" spans="2:9" ht="15" customHeight="1" x14ac:dyDescent="0.25">
      <c r="B186" s="77" t="s">
        <v>395</v>
      </c>
      <c r="C186" s="209"/>
      <c r="D186" s="207"/>
      <c r="E186" s="207"/>
      <c r="F186" s="207"/>
      <c r="G186" s="207"/>
      <c r="H186" s="208"/>
      <c r="I186" s="214" t="str">
        <f t="shared" si="26"/>
        <v/>
      </c>
    </row>
    <row r="187" spans="2:9" ht="15" customHeight="1" x14ac:dyDescent="0.25">
      <c r="B187" s="77" t="s">
        <v>396</v>
      </c>
      <c r="C187" s="209"/>
      <c r="D187" s="207"/>
      <c r="E187" s="207"/>
      <c r="F187" s="207"/>
      <c r="G187" s="207"/>
      <c r="H187" s="208"/>
      <c r="I187" s="214" t="str">
        <f t="shared" si="26"/>
        <v/>
      </c>
    </row>
    <row r="188" spans="2:9" ht="15" customHeight="1" x14ac:dyDescent="0.25">
      <c r="B188" s="77" t="s">
        <v>397</v>
      </c>
      <c r="C188" s="48" t="s">
        <v>398</v>
      </c>
      <c r="D188" s="207"/>
      <c r="E188" s="207"/>
      <c r="F188" s="207"/>
      <c r="G188" s="207"/>
      <c r="H188" s="208"/>
      <c r="I188" s="214" t="str">
        <f t="shared" si="26"/>
        <v/>
      </c>
    </row>
    <row r="189" spans="2:9" ht="15" customHeight="1" x14ac:dyDescent="0.25">
      <c r="B189" s="210"/>
      <c r="C189" s="209"/>
      <c r="D189" s="207"/>
      <c r="E189" s="207"/>
      <c r="F189" s="207"/>
      <c r="G189" s="207"/>
      <c r="H189" s="208"/>
      <c r="I189" s="214" t="str">
        <f t="shared" si="26"/>
        <v/>
      </c>
    </row>
    <row r="190" spans="2:9" ht="15" customHeight="1" x14ac:dyDescent="0.25">
      <c r="B190" s="210"/>
      <c r="C190" s="209"/>
      <c r="D190" s="207"/>
      <c r="E190" s="207"/>
      <c r="F190" s="207"/>
      <c r="G190" s="207"/>
      <c r="H190" s="208"/>
      <c r="I190" s="214" t="str">
        <f t="shared" si="26"/>
        <v/>
      </c>
    </row>
    <row r="191" spans="2:9" ht="15" customHeight="1" x14ac:dyDescent="0.25">
      <c r="B191" s="73" t="s">
        <v>399</v>
      </c>
      <c r="C191" s="53" t="s">
        <v>400</v>
      </c>
      <c r="D191" s="211">
        <f>SUM(D192:D202)</f>
        <v>0</v>
      </c>
      <c r="E191" s="211">
        <f t="shared" ref="E191:H191" si="32">SUM(E192:E202)</f>
        <v>0</v>
      </c>
      <c r="F191" s="211">
        <f t="shared" si="32"/>
        <v>0</v>
      </c>
      <c r="G191" s="211">
        <f t="shared" si="32"/>
        <v>0</v>
      </c>
      <c r="H191" s="112">
        <f t="shared" si="32"/>
        <v>526.20000000000005</v>
      </c>
      <c r="I191" s="212" t="str">
        <f t="shared" si="26"/>
        <v/>
      </c>
    </row>
    <row r="192" spans="2:9" ht="15" customHeight="1" x14ac:dyDescent="0.25">
      <c r="B192" s="77" t="s">
        <v>401</v>
      </c>
      <c r="C192" s="48" t="s">
        <v>402</v>
      </c>
      <c r="D192" s="207"/>
      <c r="E192" s="207"/>
      <c r="F192" s="207"/>
      <c r="G192" s="207"/>
      <c r="H192" s="208">
        <v>526.20000000000005</v>
      </c>
      <c r="I192" s="214" t="str">
        <f t="shared" si="26"/>
        <v/>
      </c>
    </row>
    <row r="193" spans="2:9" ht="15" customHeight="1" x14ac:dyDescent="0.25">
      <c r="B193" s="77" t="s">
        <v>403</v>
      </c>
      <c r="C193" s="48" t="s">
        <v>404</v>
      </c>
      <c r="D193" s="207"/>
      <c r="E193" s="207"/>
      <c r="F193" s="207"/>
      <c r="G193" s="207"/>
      <c r="H193" s="208"/>
      <c r="I193" s="214" t="str">
        <f t="shared" si="26"/>
        <v/>
      </c>
    </row>
    <row r="194" spans="2:9" ht="15" customHeight="1" x14ac:dyDescent="0.25">
      <c r="B194" s="77" t="s">
        <v>405</v>
      </c>
      <c r="C194" s="48" t="s">
        <v>406</v>
      </c>
      <c r="D194" s="207"/>
      <c r="E194" s="207"/>
      <c r="F194" s="207"/>
      <c r="G194" s="207"/>
      <c r="H194" s="208"/>
      <c r="I194" s="214" t="str">
        <f t="shared" si="26"/>
        <v/>
      </c>
    </row>
    <row r="195" spans="2:9" ht="15" customHeight="1" x14ac:dyDescent="0.25">
      <c r="B195" s="77" t="s">
        <v>407</v>
      </c>
      <c r="C195" s="48" t="s">
        <v>408</v>
      </c>
      <c r="D195" s="207"/>
      <c r="E195" s="207"/>
      <c r="F195" s="207"/>
      <c r="G195" s="207"/>
      <c r="H195" s="208"/>
      <c r="I195" s="214" t="str">
        <f t="shared" ref="I195:I211" si="33">IFERROR(IF(AND(G195&lt;0,H195&lt;=0),-(H195-G195)/G195,IF(AND(G195&lt;0,H195&gt;0),-(H195-G195)/G195,(H195-G195)/G195)),"")</f>
        <v/>
      </c>
    </row>
    <row r="196" spans="2:9" ht="15" customHeight="1" x14ac:dyDescent="0.25">
      <c r="B196" s="77" t="s">
        <v>409</v>
      </c>
      <c r="C196" s="48" t="s">
        <v>410</v>
      </c>
      <c r="D196" s="207"/>
      <c r="E196" s="207"/>
      <c r="F196" s="207"/>
      <c r="G196" s="207"/>
      <c r="H196" s="208"/>
      <c r="I196" s="214" t="str">
        <f t="shared" si="33"/>
        <v/>
      </c>
    </row>
    <row r="197" spans="2:9" ht="15" customHeight="1" x14ac:dyDescent="0.25">
      <c r="B197" s="77" t="s">
        <v>411</v>
      </c>
      <c r="C197" s="209"/>
      <c r="D197" s="207"/>
      <c r="E197" s="207"/>
      <c r="F197" s="207"/>
      <c r="G197" s="207"/>
      <c r="H197" s="208"/>
      <c r="I197" s="214" t="str">
        <f t="shared" si="33"/>
        <v/>
      </c>
    </row>
    <row r="198" spans="2:9" ht="15" customHeight="1" x14ac:dyDescent="0.25">
      <c r="B198" s="77" t="s">
        <v>412</v>
      </c>
      <c r="C198" s="209"/>
      <c r="D198" s="207"/>
      <c r="E198" s="207"/>
      <c r="F198" s="207"/>
      <c r="G198" s="207"/>
      <c r="H198" s="208"/>
      <c r="I198" s="214" t="str">
        <f t="shared" si="33"/>
        <v/>
      </c>
    </row>
    <row r="199" spans="2:9" ht="15" customHeight="1" x14ac:dyDescent="0.25">
      <c r="B199" s="77" t="s">
        <v>413</v>
      </c>
      <c r="C199" s="209"/>
      <c r="D199" s="207"/>
      <c r="E199" s="207"/>
      <c r="F199" s="207"/>
      <c r="G199" s="207"/>
      <c r="H199" s="208"/>
      <c r="I199" s="214" t="str">
        <f t="shared" si="33"/>
        <v/>
      </c>
    </row>
    <row r="200" spans="2:9" ht="15" customHeight="1" x14ac:dyDescent="0.25">
      <c r="B200" s="77" t="s">
        <v>414</v>
      </c>
      <c r="C200" s="48" t="s">
        <v>415</v>
      </c>
      <c r="D200" s="207"/>
      <c r="E200" s="207"/>
      <c r="F200" s="207"/>
      <c r="G200" s="207"/>
      <c r="H200" s="208"/>
      <c r="I200" s="214" t="str">
        <f t="shared" si="33"/>
        <v/>
      </c>
    </row>
    <row r="201" spans="2:9" ht="15" customHeight="1" x14ac:dyDescent="0.25">
      <c r="B201" s="210"/>
      <c r="C201" s="209"/>
      <c r="D201" s="207"/>
      <c r="E201" s="207"/>
      <c r="F201" s="207"/>
      <c r="G201" s="207"/>
      <c r="H201" s="208"/>
      <c r="I201" s="214" t="str">
        <f t="shared" si="33"/>
        <v/>
      </c>
    </row>
    <row r="202" spans="2:9" ht="15" customHeight="1" x14ac:dyDescent="0.25">
      <c r="B202" s="210"/>
      <c r="C202" s="209"/>
      <c r="D202" s="207"/>
      <c r="E202" s="207"/>
      <c r="F202" s="207"/>
      <c r="G202" s="207"/>
      <c r="H202" s="208"/>
      <c r="I202" s="214" t="str">
        <f t="shared" si="33"/>
        <v/>
      </c>
    </row>
    <row r="203" spans="2:9" ht="15" customHeight="1" x14ac:dyDescent="0.25">
      <c r="B203" s="73" t="s">
        <v>416</v>
      </c>
      <c r="C203" s="53" t="s">
        <v>417</v>
      </c>
      <c r="D203" s="211">
        <f>SUM(D204:D210)</f>
        <v>0</v>
      </c>
      <c r="E203" s="211">
        <f t="shared" ref="E203:H203" si="34">SUM(E204:E210)</f>
        <v>0</v>
      </c>
      <c r="F203" s="211">
        <f t="shared" si="34"/>
        <v>0</v>
      </c>
      <c r="G203" s="211">
        <f t="shared" si="34"/>
        <v>0</v>
      </c>
      <c r="H203" s="112">
        <f t="shared" si="34"/>
        <v>0</v>
      </c>
      <c r="I203" s="212" t="str">
        <f t="shared" si="33"/>
        <v/>
      </c>
    </row>
    <row r="204" spans="2:9" ht="15" customHeight="1" x14ac:dyDescent="0.25">
      <c r="B204" s="77" t="s">
        <v>418</v>
      </c>
      <c r="C204" s="48" t="s">
        <v>292</v>
      </c>
      <c r="D204" s="207"/>
      <c r="E204" s="207"/>
      <c r="F204" s="207"/>
      <c r="G204" s="207"/>
      <c r="H204" s="208"/>
      <c r="I204" s="214" t="str">
        <f t="shared" si="33"/>
        <v/>
      </c>
    </row>
    <row r="205" spans="2:9" ht="15" customHeight="1" x14ac:dyDescent="0.25">
      <c r="B205" s="77" t="s">
        <v>419</v>
      </c>
      <c r="C205" s="48" t="s">
        <v>420</v>
      </c>
      <c r="D205" s="207"/>
      <c r="E205" s="207"/>
      <c r="F205" s="207"/>
      <c r="G205" s="207"/>
      <c r="H205" s="208"/>
      <c r="I205" s="214" t="str">
        <f t="shared" si="33"/>
        <v/>
      </c>
    </row>
    <row r="206" spans="2:9" ht="15" customHeight="1" x14ac:dyDescent="0.25">
      <c r="B206" s="77" t="s">
        <v>421</v>
      </c>
      <c r="C206" s="48" t="s">
        <v>110</v>
      </c>
      <c r="D206" s="207"/>
      <c r="E206" s="207"/>
      <c r="F206" s="207"/>
      <c r="G206" s="207"/>
      <c r="H206" s="208"/>
      <c r="I206" s="214" t="str">
        <f t="shared" si="33"/>
        <v/>
      </c>
    </row>
    <row r="207" spans="2:9" ht="15" customHeight="1" x14ac:dyDescent="0.25">
      <c r="B207" s="210"/>
      <c r="C207" s="209"/>
      <c r="D207" s="207"/>
      <c r="E207" s="207"/>
      <c r="F207" s="207"/>
      <c r="G207" s="207"/>
      <c r="H207" s="208"/>
      <c r="I207" s="214" t="str">
        <f t="shared" si="33"/>
        <v/>
      </c>
    </row>
    <row r="208" spans="2:9" ht="15" customHeight="1" x14ac:dyDescent="0.25">
      <c r="B208" s="210"/>
      <c r="C208" s="209"/>
      <c r="D208" s="207"/>
      <c r="E208" s="207"/>
      <c r="F208" s="207"/>
      <c r="G208" s="207"/>
      <c r="H208" s="208"/>
      <c r="I208" s="214" t="str">
        <f t="shared" si="33"/>
        <v/>
      </c>
    </row>
    <row r="209" spans="1:15" ht="15" customHeight="1" x14ac:dyDescent="0.25">
      <c r="B209" s="210"/>
      <c r="C209" s="209"/>
      <c r="D209" s="207"/>
      <c r="E209" s="207"/>
      <c r="F209" s="207"/>
      <c r="G209" s="207"/>
      <c r="H209" s="208"/>
      <c r="I209" s="214" t="str">
        <f t="shared" si="33"/>
        <v/>
      </c>
    </row>
    <row r="210" spans="1:15" ht="15" customHeight="1" x14ac:dyDescent="0.25">
      <c r="B210" s="210"/>
      <c r="C210" s="209"/>
      <c r="D210" s="207"/>
      <c r="E210" s="207"/>
      <c r="F210" s="207"/>
      <c r="G210" s="207"/>
      <c r="H210" s="208"/>
      <c r="I210" s="214" t="str">
        <f t="shared" si="33"/>
        <v/>
      </c>
    </row>
    <row r="211" spans="1:15" ht="21" customHeight="1" x14ac:dyDescent="0.25">
      <c r="B211" s="449" t="s">
        <v>425</v>
      </c>
      <c r="C211" s="450"/>
      <c r="D211" s="118">
        <f>D131+D143+D153+D161+D167+D179+D191+D203</f>
        <v>0</v>
      </c>
      <c r="E211" s="119">
        <f t="shared" ref="E211:H211" si="35">E131+E143+E153+E161+E167+E179+E191+E203</f>
        <v>0</v>
      </c>
      <c r="F211" s="119">
        <f t="shared" si="35"/>
        <v>0</v>
      </c>
      <c r="G211" s="119">
        <f t="shared" si="35"/>
        <v>0</v>
      </c>
      <c r="H211" s="119">
        <f t="shared" si="35"/>
        <v>733126.2</v>
      </c>
      <c r="I211" s="120" t="str">
        <f t="shared" si="33"/>
        <v/>
      </c>
    </row>
    <row r="212" spans="1:15" s="57" customFormat="1" ht="15" customHeight="1" x14ac:dyDescent="0.25">
      <c r="A212" s="3"/>
      <c r="B212" s="4"/>
      <c r="C212" s="4"/>
      <c r="D212" s="3"/>
      <c r="E212" s="3"/>
      <c r="F212" s="3"/>
      <c r="G212" s="3"/>
      <c r="H212" s="3"/>
      <c r="J212" s="3"/>
      <c r="K212" s="3"/>
      <c r="L212" s="3"/>
      <c r="M212" s="3"/>
      <c r="N212" s="3"/>
      <c r="O212" s="3"/>
    </row>
    <row r="213" spans="1:15" s="57" customFormat="1" ht="15" customHeight="1" x14ac:dyDescent="0.25">
      <c r="A213" s="3"/>
      <c r="B213" s="4"/>
      <c r="C213" s="4"/>
      <c r="D213" s="3"/>
      <c r="E213" s="3"/>
      <c r="F213" s="3"/>
      <c r="G213" s="3"/>
      <c r="H213" s="122" t="s">
        <v>432</v>
      </c>
      <c r="I213" s="121" t="str">
        <f>IF(COVER!$K$6&lt;&gt;"",CONCATENATE("milhares ",COVER!$K$6),"")</f>
        <v>milhares MZN</v>
      </c>
      <c r="J213" s="3"/>
      <c r="K213" s="3"/>
      <c r="L213" s="3"/>
      <c r="M213" s="3"/>
      <c r="N213" s="3"/>
      <c r="O213" s="3"/>
    </row>
    <row r="214" spans="1:15" s="31" customFormat="1" ht="31.5" customHeight="1" x14ac:dyDescent="0.25">
      <c r="B214" s="67"/>
      <c r="C214" s="102"/>
      <c r="D214" s="68">
        <f>IF(E214&lt;&gt;"",E214-1,"")</f>
        <v>2017</v>
      </c>
      <c r="E214" s="68">
        <f>IF(F214&lt;&gt;"",F214-1,"")</f>
        <v>2018</v>
      </c>
      <c r="F214" s="68">
        <f>IF(G214&lt;&gt;"",G214-1,"")</f>
        <v>2019</v>
      </c>
      <c r="G214" s="68">
        <f>IF(H214&lt;&gt;"",H214-1,"")</f>
        <v>2020</v>
      </c>
      <c r="H214" s="69">
        <f>$F$3</f>
        <v>2021</v>
      </c>
      <c r="I214" s="70" t="str">
        <f>IF(AND(G214&lt;&gt;"",H214&lt;&gt;""),CONCATENATE("Variação % (",H214,"/",G214,")"),"")</f>
        <v>Variação % (2021/2020)</v>
      </c>
    </row>
    <row r="215" spans="1:15" s="31" customFormat="1" ht="15" customHeight="1" x14ac:dyDescent="0.25">
      <c r="B215" s="123"/>
      <c r="C215" s="32"/>
      <c r="D215" s="32"/>
      <c r="E215" s="32"/>
      <c r="F215" s="32"/>
      <c r="G215" s="32"/>
    </row>
    <row r="216" spans="1:15" ht="15" customHeight="1" x14ac:dyDescent="0.25">
      <c r="B216" s="441" t="s">
        <v>426</v>
      </c>
      <c r="C216" s="442"/>
      <c r="D216" s="211">
        <f>D211</f>
        <v>0</v>
      </c>
      <c r="E216" s="211">
        <f t="shared" ref="E216:H216" si="36">E211</f>
        <v>0</v>
      </c>
      <c r="F216" s="211">
        <f t="shared" si="36"/>
        <v>0</v>
      </c>
      <c r="G216" s="211">
        <f t="shared" si="36"/>
        <v>0</v>
      </c>
      <c r="H216" s="112">
        <f t="shared" si="36"/>
        <v>733126.2</v>
      </c>
      <c r="I216" s="212" t="str">
        <f t="shared" ref="I216:I220" si="37">IFERROR(IF(AND(G216&lt;0,H216&lt;=0),-(H216-G216)/G216,IF(AND(G216&lt;0,H216&gt;0),-(H216-G216)/G216,(H216-G216)/G216)),"")</f>
        <v/>
      </c>
    </row>
    <row r="217" spans="1:15" ht="15" customHeight="1" x14ac:dyDescent="0.25">
      <c r="B217" s="441" t="s">
        <v>427</v>
      </c>
      <c r="C217" s="442"/>
      <c r="D217" s="211">
        <f>D124</f>
        <v>0</v>
      </c>
      <c r="E217" s="211">
        <f t="shared" ref="E217:H217" si="38">E124</f>
        <v>0</v>
      </c>
      <c r="F217" s="211">
        <f t="shared" si="38"/>
        <v>0</v>
      </c>
      <c r="G217" s="211">
        <f t="shared" si="38"/>
        <v>0</v>
      </c>
      <c r="H217" s="112">
        <f t="shared" si="38"/>
        <v>7143006.0300000003</v>
      </c>
      <c r="I217" s="212" t="str">
        <f t="shared" si="37"/>
        <v/>
      </c>
    </row>
    <row r="218" spans="1:15" ht="15" customHeight="1" x14ac:dyDescent="0.25">
      <c r="B218" s="441" t="s">
        <v>699</v>
      </c>
      <c r="C218" s="442"/>
      <c r="D218" s="211">
        <f>D216-D217</f>
        <v>0</v>
      </c>
      <c r="E218" s="211">
        <f t="shared" ref="E218:H218" si="39">E216-E217</f>
        <v>0</v>
      </c>
      <c r="F218" s="211">
        <f t="shared" si="39"/>
        <v>0</v>
      </c>
      <c r="G218" s="211">
        <f t="shared" si="39"/>
        <v>0</v>
      </c>
      <c r="H218" s="112">
        <f t="shared" si="39"/>
        <v>-6409879.8300000001</v>
      </c>
      <c r="I218" s="212" t="str">
        <f t="shared" si="37"/>
        <v/>
      </c>
    </row>
    <row r="219" spans="1:15" ht="15" customHeight="1" x14ac:dyDescent="0.25">
      <c r="B219" s="441" t="s">
        <v>702</v>
      </c>
      <c r="C219" s="442"/>
      <c r="D219" s="357"/>
      <c r="E219" s="357"/>
      <c r="F219" s="357"/>
      <c r="G219" s="357"/>
      <c r="H219" s="358"/>
      <c r="I219" s="212" t="str">
        <f t="shared" si="37"/>
        <v/>
      </c>
    </row>
    <row r="220" spans="1:15" ht="15" customHeight="1" x14ac:dyDescent="0.25">
      <c r="B220" s="441" t="s">
        <v>428</v>
      </c>
      <c r="C220" s="442"/>
      <c r="D220" s="213">
        <f>D218+D219</f>
        <v>0</v>
      </c>
      <c r="E220" s="213">
        <f>E218+E219</f>
        <v>0</v>
      </c>
      <c r="F220" s="213">
        <f>F218+F219</f>
        <v>0</v>
      </c>
      <c r="G220" s="213">
        <f t="shared" ref="G220:H220" si="40">G218+G219</f>
        <v>0</v>
      </c>
      <c r="H220" s="181">
        <f t="shared" si="40"/>
        <v>-6409879.8300000001</v>
      </c>
      <c r="I220" s="212" t="str">
        <f t="shared" si="37"/>
        <v/>
      </c>
    </row>
    <row r="221" spans="1:15" s="57" customFormat="1" ht="15" customHeight="1" x14ac:dyDescent="0.25">
      <c r="A221" s="3"/>
      <c r="B221" s="443" t="s">
        <v>700</v>
      </c>
      <c r="C221" s="444"/>
      <c r="D221" s="94">
        <f>D218-'INFORMAÇÃO FINANCEIRA'!C85</f>
        <v>0</v>
      </c>
      <c r="E221" s="94">
        <f>E218-'INFORMAÇÃO FINANCEIRA'!D85</f>
        <v>0</v>
      </c>
      <c r="F221" s="94">
        <f>F218-'INFORMAÇÃO FINANCEIRA'!E85</f>
        <v>0</v>
      </c>
      <c r="G221" s="94">
        <f>G218-'INFORMAÇÃO FINANCEIRA'!F85</f>
        <v>0</v>
      </c>
      <c r="H221" s="94">
        <f>H218-'INFORMAÇÃO FINANCEIRA'!G85</f>
        <v>0</v>
      </c>
      <c r="I221" s="182"/>
      <c r="J221" s="3"/>
      <c r="K221" s="3"/>
      <c r="L221" s="3"/>
      <c r="M221" s="3"/>
      <c r="N221" s="3"/>
      <c r="O221" s="3"/>
    </row>
    <row r="222" spans="1:15" s="57" customFormat="1" ht="15" customHeight="1" x14ac:dyDescent="0.25">
      <c r="A222" s="3"/>
      <c r="B222" s="439" t="s">
        <v>701</v>
      </c>
      <c r="C222" s="440"/>
      <c r="D222" s="183">
        <f>D220-'INFORMAÇÃO FINANCEIRA'!C87</f>
        <v>0</v>
      </c>
      <c r="E222" s="183">
        <f>E220-'INFORMAÇÃO FINANCEIRA'!D87</f>
        <v>0</v>
      </c>
      <c r="F222" s="183">
        <f>F220-'INFORMAÇÃO FINANCEIRA'!E87</f>
        <v>0</v>
      </c>
      <c r="G222" s="183">
        <f>G220-'INFORMAÇÃO FINANCEIRA'!F87</f>
        <v>0</v>
      </c>
      <c r="H222" s="183">
        <f>H220-'INFORMAÇÃO FINANCEIRA'!G87</f>
        <v>0</v>
      </c>
      <c r="I222" s="184"/>
      <c r="J222" s="3"/>
      <c r="K222" s="3"/>
      <c r="L222" s="3"/>
      <c r="M222" s="3"/>
      <c r="N222" s="3"/>
      <c r="O222" s="3"/>
    </row>
    <row r="223" spans="1:15" s="57" customFormat="1" ht="15" customHeight="1" x14ac:dyDescent="0.25">
      <c r="A223" s="3"/>
      <c r="B223" s="4"/>
      <c r="C223" s="4"/>
      <c r="D223" s="3"/>
      <c r="E223" s="3"/>
      <c r="F223" s="3"/>
      <c r="G223" s="3"/>
      <c r="H223" s="3"/>
      <c r="J223" s="3"/>
      <c r="K223" s="3"/>
      <c r="L223" s="3"/>
      <c r="M223" s="3"/>
      <c r="N223" s="3"/>
      <c r="O223" s="3"/>
    </row>
    <row r="224" spans="1:15" s="57" customFormat="1" ht="15" customHeight="1" x14ac:dyDescent="0.25">
      <c r="A224" s="3"/>
      <c r="B224" s="4"/>
      <c r="C224" s="4"/>
      <c r="D224" s="3"/>
      <c r="E224" s="3"/>
      <c r="F224" s="3"/>
      <c r="G224" s="3"/>
      <c r="H224" s="3"/>
      <c r="J224" s="3"/>
      <c r="K224" s="3"/>
      <c r="L224" s="3"/>
      <c r="M224" s="3"/>
      <c r="N224" s="3"/>
      <c r="O224" s="3"/>
    </row>
    <row r="225" spans="1:15" s="57" customFormat="1" ht="15" hidden="1" customHeight="1" x14ac:dyDescent="0.2">
      <c r="A225" s="3"/>
      <c r="B225" s="4"/>
      <c r="C225" s="4"/>
      <c r="D225" s="3"/>
      <c r="E225" s="3"/>
      <c r="F225" s="3"/>
      <c r="G225" s="3"/>
      <c r="H225" s="3"/>
      <c r="J225" s="3"/>
      <c r="K225" s="3"/>
      <c r="L225" s="3"/>
      <c r="M225" s="3"/>
      <c r="N225" s="3"/>
      <c r="O225" s="3"/>
    </row>
    <row r="421" ht="15" customHeight="1" x14ac:dyDescent="0.25"/>
    <row r="422" ht="15" customHeight="1" x14ac:dyDescent="0.25"/>
    <row r="423" ht="15" customHeight="1" x14ac:dyDescent="0.25"/>
    <row r="424" ht="15" customHeight="1" x14ac:dyDescent="0.25"/>
  </sheetData>
  <sheetProtection sort="0" autoFilter="0"/>
  <mergeCells count="15">
    <mergeCell ref="B1:C1"/>
    <mergeCell ref="B5:C5"/>
    <mergeCell ref="B129:I129"/>
    <mergeCell ref="B124:C124"/>
    <mergeCell ref="B211:C211"/>
    <mergeCell ref="D5:F5"/>
    <mergeCell ref="B8:I8"/>
    <mergeCell ref="B12:I12"/>
    <mergeCell ref="B222:C222"/>
    <mergeCell ref="B216:C216"/>
    <mergeCell ref="B217:C217"/>
    <mergeCell ref="B218:C218"/>
    <mergeCell ref="B221:C221"/>
    <mergeCell ref="B219:C219"/>
    <mergeCell ref="B220:C220"/>
  </mergeCells>
  <conditionalFormatting sqref="E222">
    <cfRule type="expression" dxfId="34" priority="4">
      <formula>E222&lt;&gt;0</formula>
    </cfRule>
  </conditionalFormatting>
  <conditionalFormatting sqref="D221">
    <cfRule type="expression" dxfId="33" priority="15">
      <formula>D221&lt;&gt;0</formula>
    </cfRule>
  </conditionalFormatting>
  <conditionalFormatting sqref="E221">
    <cfRule type="expression" dxfId="32" priority="13">
      <formula>E221&lt;&gt;0</formula>
    </cfRule>
  </conditionalFormatting>
  <conditionalFormatting sqref="F221">
    <cfRule type="expression" dxfId="31" priority="12">
      <formula>F221&lt;&gt;0</formula>
    </cfRule>
  </conditionalFormatting>
  <conditionalFormatting sqref="G221">
    <cfRule type="expression" dxfId="30" priority="11">
      <formula>G221&lt;&gt;0</formula>
    </cfRule>
  </conditionalFormatting>
  <conditionalFormatting sqref="H221">
    <cfRule type="expression" dxfId="29" priority="10">
      <formula>H221&lt;&gt;0</formula>
    </cfRule>
  </conditionalFormatting>
  <conditionalFormatting sqref="D222">
    <cfRule type="expression" dxfId="28" priority="9">
      <formula>D222&lt;&gt;0</formula>
    </cfRule>
  </conditionalFormatting>
  <conditionalFormatting sqref="F222">
    <cfRule type="expression" dxfId="27" priority="3">
      <formula>F222&lt;&gt;0</formula>
    </cfRule>
  </conditionalFormatting>
  <conditionalFormatting sqref="G222">
    <cfRule type="expression" dxfId="26" priority="2">
      <formula>G222&lt;&gt;0</formula>
    </cfRule>
  </conditionalFormatting>
  <conditionalFormatting sqref="H222">
    <cfRule type="expression" dxfId="25" priority="1">
      <formula>H222&lt;&gt;0</formula>
    </cfRule>
  </conditionalFormatting>
  <hyperlinks>
    <hyperlink ref="B1" location="COVER!A1" display="BACK TO INDEX" xr:uid="{00000000-0004-0000-0800-000000000000}"/>
    <hyperlink ref="B1:C1" location="ÍNDICE!A1" display="BACK TO INDEX" xr:uid="{00000000-0004-0000-0800-000001000000}"/>
  </hyperlinks>
  <pageMargins left="0.7" right="0.7" top="0.75" bottom="0.75" header="0.3" footer="0.3"/>
  <pageSetup scale="53" orientation="portrait" r:id="rId1"/>
  <colBreaks count="1" manualBreakCount="1">
    <brk id="10" min="1" max="150"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tint="-0.249977111117893"/>
  </sheetPr>
  <dimension ref="A1:M161"/>
  <sheetViews>
    <sheetView showGridLines="0" zoomScale="90" zoomScaleNormal="90" workbookViewId="0">
      <pane ySplit="1" topLeftCell="A56" activePane="bottomLeft" state="frozen"/>
      <selection activeCell="B1" sqref="B1:C1"/>
      <selection pane="bottomLeft" activeCell="F27" sqref="F27"/>
    </sheetView>
  </sheetViews>
  <sheetFormatPr defaultColWidth="0" defaultRowHeight="15" customHeight="1" zeroHeight="1" x14ac:dyDescent="0.25"/>
  <cols>
    <col min="1" max="1" width="1.140625" style="3" customWidth="1"/>
    <col min="2" max="2" width="57.42578125" style="4" bestFit="1" customWidth="1"/>
    <col min="3" max="7" width="18.85546875" style="3" customWidth="1"/>
    <col min="8" max="8" width="12.140625" style="57" customWidth="1"/>
    <col min="9" max="9" width="1" style="3" customWidth="1"/>
    <col min="10" max="11" width="5" style="3" hidden="1" customWidth="1"/>
    <col min="12" max="13" width="9.140625" style="3" hidden="1" customWidth="1"/>
    <col min="14" max="16384" width="5" style="3" hidden="1"/>
  </cols>
  <sheetData>
    <row r="1" spans="1:9" ht="21" customHeight="1" x14ac:dyDescent="0.2">
      <c r="A1" s="2"/>
      <c r="B1" s="167" t="s">
        <v>29</v>
      </c>
      <c r="C1" s="2"/>
      <c r="D1" s="2"/>
      <c r="E1" s="2"/>
      <c r="F1" s="2"/>
      <c r="G1" s="2"/>
      <c r="H1" s="56"/>
      <c r="I1" s="56"/>
    </row>
    <row r="2" spans="1:9" ht="15" customHeight="1" x14ac:dyDescent="0.2"/>
    <row r="3" spans="1:9" ht="15" customHeight="1" x14ac:dyDescent="0.25">
      <c r="D3" s="12" t="s">
        <v>37</v>
      </c>
      <c r="E3" s="186">
        <f>IF(COVER!E6&lt;&gt;"",COVER!E6,"")</f>
        <v>2021</v>
      </c>
    </row>
    <row r="4" spans="1:9" ht="15" customHeight="1" x14ac:dyDescent="0.2"/>
    <row r="5" spans="1:9" ht="20.25" customHeight="1" x14ac:dyDescent="0.2">
      <c r="B5" s="5" t="s">
        <v>4</v>
      </c>
      <c r="C5" s="373" t="str">
        <f>IF(COVER!E8&lt;&gt;"",COVER!E8,"")</f>
        <v>POWER BLOX AFRICA, S.A.</v>
      </c>
      <c r="D5" s="374"/>
      <c r="E5" s="375"/>
    </row>
    <row r="6" spans="1:9" ht="15" customHeight="1" x14ac:dyDescent="0.2"/>
    <row r="7" spans="1:9" ht="15" customHeight="1" x14ac:dyDescent="0.2"/>
    <row r="8" spans="1:9" s="6" customFormat="1" ht="30.75" customHeight="1" x14ac:dyDescent="0.25">
      <c r="B8" s="376" t="s">
        <v>8</v>
      </c>
      <c r="C8" s="377"/>
      <c r="D8" s="377"/>
      <c r="E8" s="377"/>
      <c r="F8" s="377"/>
      <c r="G8" s="377"/>
      <c r="H8" s="377"/>
    </row>
    <row r="9" spans="1:9" ht="15" customHeight="1" x14ac:dyDescent="0.2"/>
    <row r="10" spans="1:9" ht="21.75" customHeight="1" x14ac:dyDescent="0.25">
      <c r="B10" s="370" t="s">
        <v>82</v>
      </c>
      <c r="C10" s="371"/>
      <c r="D10" s="371"/>
      <c r="E10" s="371"/>
      <c r="F10" s="371"/>
      <c r="G10" s="371"/>
      <c r="H10" s="372"/>
    </row>
    <row r="11" spans="1:9" ht="15" customHeight="1" x14ac:dyDescent="0.25">
      <c r="G11" s="122" t="s">
        <v>432</v>
      </c>
      <c r="H11" s="121" t="str">
        <f>IF(COVER!$K$6&lt;&gt;"",CONCATENATE("milhares ",COVER!$K$6),"")</f>
        <v>milhares MZN</v>
      </c>
    </row>
    <row r="12" spans="1:9" s="31" customFormat="1" ht="31.5" customHeight="1" x14ac:dyDescent="0.25">
      <c r="B12" s="67"/>
      <c r="C12" s="103">
        <f>IF(D12&lt;&gt;"",D12-1,"")</f>
        <v>2017</v>
      </c>
      <c r="D12" s="170">
        <f>IF(E12&lt;&gt;"",E12-1,"")</f>
        <v>2018</v>
      </c>
      <c r="E12" s="170">
        <f>IF(F12&lt;&gt;"",F12-1,"")</f>
        <v>2019</v>
      </c>
      <c r="F12" s="170">
        <f>IF(G12&lt;&gt;"",G12-1,"")</f>
        <v>2020</v>
      </c>
      <c r="G12" s="104">
        <f>$E$3</f>
        <v>2021</v>
      </c>
      <c r="H12" s="105" t="str">
        <f>IF(AND(F12&lt;&gt;"",G12&lt;&gt;""),CONCATENATE("Variação % (",G12,"/",F12,")"),"")</f>
        <v>Variação % (2021/2020)</v>
      </c>
    </row>
    <row r="13" spans="1:9" ht="15" customHeight="1" x14ac:dyDescent="0.25">
      <c r="B13" s="71"/>
    </row>
    <row r="14" spans="1:9" ht="21" customHeight="1" x14ac:dyDescent="0.25">
      <c r="B14" s="378" t="s">
        <v>107</v>
      </c>
      <c r="C14" s="379"/>
      <c r="D14" s="379"/>
      <c r="E14" s="379"/>
      <c r="F14" s="379"/>
      <c r="G14" s="379"/>
      <c r="H14" s="379"/>
    </row>
    <row r="15" spans="1:9" ht="15" customHeight="1" x14ac:dyDescent="0.25">
      <c r="B15" s="72"/>
      <c r="C15" s="106"/>
      <c r="D15" s="91"/>
      <c r="E15" s="91"/>
      <c r="F15" s="91"/>
      <c r="G15" s="107"/>
      <c r="H15" s="215"/>
    </row>
    <row r="16" spans="1:9" ht="15" customHeight="1" x14ac:dyDescent="0.25">
      <c r="B16" s="73" t="s">
        <v>83</v>
      </c>
      <c r="C16" s="225">
        <f>SUM(C17:C25)</f>
        <v>0</v>
      </c>
      <c r="D16" s="211">
        <f t="shared" ref="D16:G16" si="0">SUM(D17:D25)</f>
        <v>0</v>
      </c>
      <c r="E16" s="211">
        <f t="shared" si="0"/>
        <v>0</v>
      </c>
      <c r="F16" s="211">
        <f t="shared" si="0"/>
        <v>0</v>
      </c>
      <c r="G16" s="112">
        <f t="shared" si="0"/>
        <v>65494.89</v>
      </c>
      <c r="H16" s="212" t="str">
        <f>IFERROR(IF(AND(F16&lt;0,G16&lt;=0),-(G16-F16)/F16,IF(AND(F16&lt;0,G16&gt;0),-(G16-F16)/F16,(G16-F16)/F16)),"")</f>
        <v/>
      </c>
    </row>
    <row r="17" spans="2:8" ht="15" customHeight="1" x14ac:dyDescent="0.25">
      <c r="B17" s="74" t="s">
        <v>112</v>
      </c>
      <c r="C17" s="217"/>
      <c r="D17" s="205"/>
      <c r="E17" s="205"/>
      <c r="F17" s="205"/>
      <c r="G17" s="206">
        <v>65494.89</v>
      </c>
      <c r="H17" s="216" t="str">
        <f t="shared" ref="H17" si="1">IFERROR(IF(AND(F17&lt;0,G17&lt;=0),-(G17-F17)/F17,IF(AND(F17&lt;0,G17&gt;0),-(G17-F17)/F17,(G17-F17)/F17)),"")</f>
        <v/>
      </c>
    </row>
    <row r="18" spans="2:8" ht="15" customHeight="1" x14ac:dyDescent="0.25">
      <c r="B18" s="77" t="s">
        <v>113</v>
      </c>
      <c r="C18" s="218"/>
      <c r="D18" s="207"/>
      <c r="E18" s="207"/>
      <c r="F18" s="207"/>
      <c r="G18" s="208"/>
      <c r="H18" s="214" t="str">
        <f>IFERROR(IF(AND(F18&lt;0,G18&lt;=0),-(G18-F18)/F18,IF(AND(F18&lt;0,G18&gt;0),-(G18-F18)/F18,(G18-F18)/F18)),"")</f>
        <v/>
      </c>
    </row>
    <row r="19" spans="2:8" ht="15" customHeight="1" x14ac:dyDescent="0.25">
      <c r="B19" s="78" t="s">
        <v>84</v>
      </c>
      <c r="C19" s="218"/>
      <c r="D19" s="207"/>
      <c r="E19" s="207"/>
      <c r="F19" s="207"/>
      <c r="G19" s="208"/>
      <c r="H19" s="214" t="str">
        <f t="shared" ref="H19:H25" si="2">IFERROR(IF(AND(F19&lt;0,G19&lt;=0),-(G19-F19)/F19,IF(AND(F19&lt;0,G19&gt;0),-(G19-F19)/F19,(G19-F19)/F19)),"")</f>
        <v/>
      </c>
    </row>
    <row r="20" spans="2:8" ht="15" customHeight="1" x14ac:dyDescent="0.25">
      <c r="B20" s="77" t="s">
        <v>111</v>
      </c>
      <c r="C20" s="218"/>
      <c r="D20" s="207"/>
      <c r="E20" s="207"/>
      <c r="F20" s="207"/>
      <c r="G20" s="208"/>
      <c r="H20" s="214" t="str">
        <f t="shared" si="2"/>
        <v/>
      </c>
    </row>
    <row r="21" spans="2:8" ht="15" customHeight="1" x14ac:dyDescent="0.25">
      <c r="B21" s="77" t="s">
        <v>85</v>
      </c>
      <c r="C21" s="218"/>
      <c r="D21" s="207"/>
      <c r="E21" s="207"/>
      <c r="F21" s="207"/>
      <c r="G21" s="208"/>
      <c r="H21" s="214" t="str">
        <f t="shared" si="2"/>
        <v/>
      </c>
    </row>
    <row r="22" spans="2:8" ht="15" customHeight="1" x14ac:dyDescent="0.25">
      <c r="B22" s="77" t="s">
        <v>86</v>
      </c>
      <c r="C22" s="218"/>
      <c r="D22" s="207"/>
      <c r="E22" s="207"/>
      <c r="F22" s="207"/>
      <c r="G22" s="208"/>
      <c r="H22" s="214" t="str">
        <f t="shared" si="2"/>
        <v/>
      </c>
    </row>
    <row r="23" spans="2:8" ht="15" customHeight="1" x14ac:dyDescent="0.25">
      <c r="B23" s="77" t="s">
        <v>87</v>
      </c>
      <c r="C23" s="218"/>
      <c r="D23" s="207"/>
      <c r="E23" s="207"/>
      <c r="F23" s="207"/>
      <c r="G23" s="208"/>
      <c r="H23" s="214" t="str">
        <f t="shared" si="2"/>
        <v/>
      </c>
    </row>
    <row r="24" spans="2:8" ht="15" customHeight="1" x14ac:dyDescent="0.25">
      <c r="B24" s="77" t="s">
        <v>88</v>
      </c>
      <c r="C24" s="218"/>
      <c r="D24" s="207"/>
      <c r="E24" s="207"/>
      <c r="F24" s="207"/>
      <c r="G24" s="208"/>
      <c r="H24" s="214" t="str">
        <f t="shared" si="2"/>
        <v/>
      </c>
    </row>
    <row r="25" spans="2:8" ht="15" customHeight="1" x14ac:dyDescent="0.25">
      <c r="B25" s="77" t="s">
        <v>89</v>
      </c>
      <c r="C25" s="218"/>
      <c r="D25" s="207"/>
      <c r="E25" s="207"/>
      <c r="F25" s="207"/>
      <c r="G25" s="208"/>
      <c r="H25" s="214" t="str">
        <f t="shared" si="2"/>
        <v/>
      </c>
    </row>
    <row r="26" spans="2:8" ht="15" customHeight="1" x14ac:dyDescent="0.25">
      <c r="B26" s="222"/>
      <c r="C26" s="219"/>
      <c r="D26" s="220"/>
      <c r="E26" s="220"/>
      <c r="F26" s="220"/>
      <c r="G26" s="221"/>
      <c r="H26" s="215"/>
    </row>
    <row r="27" spans="2:8" ht="15" customHeight="1" x14ac:dyDescent="0.25">
      <c r="B27" s="73" t="s">
        <v>90</v>
      </c>
      <c r="C27" s="225">
        <f>SUM(C28:C33)</f>
        <v>0</v>
      </c>
      <c r="D27" s="211">
        <f t="shared" ref="D27:G27" si="3">SUM(D28:D33)</f>
        <v>0</v>
      </c>
      <c r="E27" s="211">
        <f t="shared" si="3"/>
        <v>0</v>
      </c>
      <c r="F27" s="211">
        <f t="shared" si="3"/>
        <v>0</v>
      </c>
      <c r="G27" s="112">
        <f t="shared" si="3"/>
        <v>-1700349.72</v>
      </c>
      <c r="H27" s="212" t="str">
        <f t="shared" ref="H27:H33" si="4">IFERROR(IF(AND(F27&lt;0,G27&lt;=0),-(G27-F27)/F27,IF(AND(F27&lt;0,G27&gt;0),-(G27-F27)/F27,(G27-F27)/F27)),"")</f>
        <v/>
      </c>
    </row>
    <row r="28" spans="2:8" ht="15" customHeight="1" x14ac:dyDescent="0.25">
      <c r="B28" s="74" t="s">
        <v>109</v>
      </c>
      <c r="C28" s="217"/>
      <c r="D28" s="205"/>
      <c r="E28" s="205"/>
      <c r="F28" s="205"/>
      <c r="G28" s="206">
        <v>997817.28</v>
      </c>
      <c r="H28" s="216" t="str">
        <f t="shared" si="4"/>
        <v/>
      </c>
    </row>
    <row r="29" spans="2:8" ht="15" customHeight="1" x14ac:dyDescent="0.25">
      <c r="B29" s="77" t="s">
        <v>110</v>
      </c>
      <c r="C29" s="218"/>
      <c r="D29" s="207"/>
      <c r="E29" s="207"/>
      <c r="F29" s="207"/>
      <c r="G29" s="208"/>
      <c r="H29" s="214" t="str">
        <f t="shared" si="4"/>
        <v/>
      </c>
    </row>
    <row r="30" spans="2:8" ht="15" customHeight="1" x14ac:dyDescent="0.25">
      <c r="B30" s="77" t="s">
        <v>91</v>
      </c>
      <c r="C30" s="218"/>
      <c r="D30" s="207"/>
      <c r="E30" s="207"/>
      <c r="F30" s="207"/>
      <c r="G30" s="208">
        <v>732600</v>
      </c>
      <c r="H30" s="214" t="str">
        <f t="shared" si="4"/>
        <v/>
      </c>
    </row>
    <row r="31" spans="2:8" ht="15" customHeight="1" x14ac:dyDescent="0.25">
      <c r="B31" s="77" t="s">
        <v>87</v>
      </c>
      <c r="C31" s="218"/>
      <c r="D31" s="207"/>
      <c r="E31" s="207"/>
      <c r="F31" s="207"/>
      <c r="G31" s="208"/>
      <c r="H31" s="214" t="str">
        <f t="shared" si="4"/>
        <v/>
      </c>
    </row>
    <row r="32" spans="2:8" ht="15" customHeight="1" x14ac:dyDescent="0.25">
      <c r="B32" s="77" t="s">
        <v>92</v>
      </c>
      <c r="C32" s="218"/>
      <c r="D32" s="207"/>
      <c r="E32" s="207"/>
      <c r="F32" s="207"/>
      <c r="G32" s="208"/>
      <c r="H32" s="214" t="str">
        <f t="shared" si="4"/>
        <v/>
      </c>
    </row>
    <row r="33" spans="2:8" ht="15" customHeight="1" x14ac:dyDescent="0.25">
      <c r="B33" s="77" t="s">
        <v>114</v>
      </c>
      <c r="C33" s="218"/>
      <c r="D33" s="207"/>
      <c r="E33" s="207"/>
      <c r="F33" s="207"/>
      <c r="G33" s="208">
        <f>-(31330.64+3399436.36)</f>
        <v>-3430767</v>
      </c>
      <c r="H33" s="214" t="str">
        <f t="shared" si="4"/>
        <v/>
      </c>
    </row>
    <row r="34" spans="2:8" ht="15" customHeight="1" x14ac:dyDescent="0.25">
      <c r="B34" s="222"/>
      <c r="C34" s="219"/>
      <c r="D34" s="220"/>
      <c r="E34" s="220"/>
      <c r="F34" s="220"/>
      <c r="G34" s="221"/>
      <c r="H34" s="215"/>
    </row>
    <row r="35" spans="2:8" ht="15" customHeight="1" x14ac:dyDescent="0.25">
      <c r="B35" s="79" t="s">
        <v>93</v>
      </c>
      <c r="C35" s="116">
        <f>C16+C27</f>
        <v>0</v>
      </c>
      <c r="D35" s="92">
        <f t="shared" ref="D35:G35" si="5">D16+D27</f>
        <v>0</v>
      </c>
      <c r="E35" s="92">
        <f t="shared" si="5"/>
        <v>0</v>
      </c>
      <c r="F35" s="92">
        <f t="shared" si="5"/>
        <v>0</v>
      </c>
      <c r="G35" s="92">
        <f t="shared" si="5"/>
        <v>-1634854.83</v>
      </c>
      <c r="H35" s="64" t="str">
        <f>IFERROR(IF(AND(F35&lt;0,G35&lt;=0),-(G35-F35)/F35,IF(AND(F35&lt;0,G35&gt;0),-(G35-F35)/F35,(G35-F35)/F35)),"")</f>
        <v/>
      </c>
    </row>
    <row r="36" spans="2:8" ht="15" customHeight="1" x14ac:dyDescent="0.25">
      <c r="B36" s="74"/>
      <c r="C36" s="75"/>
      <c r="D36" s="75"/>
      <c r="E36" s="75"/>
      <c r="F36" s="75"/>
      <c r="G36" s="76"/>
      <c r="H36" s="227"/>
    </row>
    <row r="37" spans="2:8" ht="21" customHeight="1" x14ac:dyDescent="0.25">
      <c r="B37" s="380" t="s">
        <v>108</v>
      </c>
      <c r="C37" s="381"/>
      <c r="D37" s="381"/>
      <c r="E37" s="381"/>
      <c r="F37" s="381"/>
      <c r="G37" s="381"/>
      <c r="H37" s="381"/>
    </row>
    <row r="38" spans="2:8" ht="15" customHeight="1" x14ac:dyDescent="0.25">
      <c r="B38" s="72"/>
      <c r="C38" s="106"/>
      <c r="D38" s="91"/>
      <c r="E38" s="91"/>
      <c r="F38" s="91"/>
      <c r="G38" s="107"/>
      <c r="H38" s="215"/>
    </row>
    <row r="39" spans="2:8" ht="15" customHeight="1" x14ac:dyDescent="0.25">
      <c r="B39" s="73" t="s">
        <v>118</v>
      </c>
      <c r="C39" s="225">
        <f>SUM(C40:C44)</f>
        <v>0</v>
      </c>
      <c r="D39" s="211">
        <f t="shared" ref="D39:G39" si="6">SUM(D40:D44)</f>
        <v>0</v>
      </c>
      <c r="E39" s="211">
        <f t="shared" si="6"/>
        <v>0</v>
      </c>
      <c r="F39" s="211">
        <f t="shared" si="6"/>
        <v>0</v>
      </c>
      <c r="G39" s="112">
        <f t="shared" si="6"/>
        <v>-6409879.8300000001</v>
      </c>
      <c r="H39" s="212" t="str">
        <f t="shared" ref="H39:H44" si="7">IFERROR(IF(AND(F39&lt;0,G39&lt;=0),-(G39-F39)/F39,IF(AND(F39&lt;0,G39&gt;0),-(G39-F39)/F39,(G39-F39)/F39)),"")</f>
        <v/>
      </c>
    </row>
    <row r="40" spans="2:8" ht="15" customHeight="1" x14ac:dyDescent="0.25">
      <c r="B40" s="74" t="s">
        <v>94</v>
      </c>
      <c r="C40" s="217"/>
      <c r="D40" s="205"/>
      <c r="E40" s="205"/>
      <c r="F40" s="205"/>
      <c r="G40" s="206"/>
      <c r="H40" s="216" t="str">
        <f t="shared" si="7"/>
        <v/>
      </c>
    </row>
    <row r="41" spans="2:8" ht="15" customHeight="1" x14ac:dyDescent="0.25">
      <c r="B41" s="77" t="s">
        <v>95</v>
      </c>
      <c r="C41" s="218"/>
      <c r="D41" s="207"/>
      <c r="E41" s="207"/>
      <c r="F41" s="207"/>
      <c r="G41" s="208"/>
      <c r="H41" s="214" t="str">
        <f t="shared" si="7"/>
        <v/>
      </c>
    </row>
    <row r="42" spans="2:8" ht="15" customHeight="1" x14ac:dyDescent="0.25">
      <c r="B42" s="77" t="s">
        <v>96</v>
      </c>
      <c r="C42" s="218"/>
      <c r="D42" s="207"/>
      <c r="E42" s="207"/>
      <c r="F42" s="207"/>
      <c r="G42" s="208"/>
      <c r="H42" s="214" t="str">
        <f t="shared" si="7"/>
        <v/>
      </c>
    </row>
    <row r="43" spans="2:8" ht="15" customHeight="1" x14ac:dyDescent="0.25">
      <c r="B43" s="77" t="s">
        <v>469</v>
      </c>
      <c r="C43" s="218"/>
      <c r="D43" s="207"/>
      <c r="E43" s="207"/>
      <c r="F43" s="207"/>
      <c r="G43" s="208"/>
      <c r="H43" s="214" t="str">
        <f t="shared" si="7"/>
        <v/>
      </c>
    </row>
    <row r="44" spans="2:8" ht="15" customHeight="1" x14ac:dyDescent="0.25">
      <c r="B44" s="77" t="s">
        <v>117</v>
      </c>
      <c r="C44" s="223">
        <f>C87</f>
        <v>0</v>
      </c>
      <c r="D44" s="223">
        <f>D87</f>
        <v>0</v>
      </c>
      <c r="E44" s="223">
        <f>E87</f>
        <v>0</v>
      </c>
      <c r="F44" s="223">
        <f>F87</f>
        <v>0</v>
      </c>
      <c r="G44" s="224">
        <f>G87</f>
        <v>-6409879.8300000001</v>
      </c>
      <c r="H44" s="214" t="str">
        <f t="shared" si="7"/>
        <v/>
      </c>
    </row>
    <row r="45" spans="2:8" ht="15" customHeight="1" x14ac:dyDescent="0.25">
      <c r="B45" s="222"/>
      <c r="C45" s="219"/>
      <c r="D45" s="220"/>
      <c r="E45" s="220"/>
      <c r="F45" s="220"/>
      <c r="G45" s="221"/>
      <c r="H45" s="215"/>
    </row>
    <row r="46" spans="2:8" ht="15" customHeight="1" x14ac:dyDescent="0.25">
      <c r="B46" s="73" t="s">
        <v>97</v>
      </c>
      <c r="C46" s="228"/>
      <c r="D46" s="229"/>
      <c r="E46" s="229"/>
      <c r="F46" s="229"/>
      <c r="G46" s="230"/>
      <c r="H46" s="212" t="str">
        <f>IFERROR(IF(AND(F46&lt;0,G46&lt;=0),-(G46-F46)/F46,IF(AND(F46&lt;0,G46&gt;0),-(G46-F46)/F46,(G46-F46)/F46)),"")</f>
        <v/>
      </c>
    </row>
    <row r="47" spans="2:8" ht="15" customHeight="1" x14ac:dyDescent="0.25">
      <c r="B47" s="80"/>
      <c r="C47" s="108"/>
      <c r="D47" s="109"/>
      <c r="E47" s="109"/>
      <c r="F47" s="109"/>
      <c r="G47" s="110"/>
      <c r="H47" s="226"/>
    </row>
    <row r="48" spans="2:8" ht="15" customHeight="1" x14ac:dyDescent="0.25">
      <c r="B48" s="79" t="s">
        <v>119</v>
      </c>
      <c r="C48" s="116">
        <f>C39+C46</f>
        <v>0</v>
      </c>
      <c r="D48" s="92">
        <f t="shared" ref="D48:G48" si="8">D39+D46</f>
        <v>0</v>
      </c>
      <c r="E48" s="92">
        <f t="shared" si="8"/>
        <v>0</v>
      </c>
      <c r="F48" s="92">
        <f t="shared" si="8"/>
        <v>0</v>
      </c>
      <c r="G48" s="92">
        <f t="shared" si="8"/>
        <v>-6409879.8300000001</v>
      </c>
      <c r="H48" s="64" t="str">
        <f>IFERROR(IF(AND(F48&lt;0,G48&lt;=0),-(G48-F48)/F48,IF(AND(F48&lt;0,G48&gt;0),-(G48-F48)/F48,(G48-F48)/F48)),"")</f>
        <v/>
      </c>
    </row>
    <row r="49" spans="2:8" ht="15" customHeight="1" x14ac:dyDescent="0.25">
      <c r="B49" s="80"/>
      <c r="C49" s="108"/>
      <c r="D49" s="109"/>
      <c r="E49" s="109"/>
      <c r="F49" s="109"/>
      <c r="G49" s="110"/>
      <c r="H49" s="226"/>
    </row>
    <row r="50" spans="2:8" ht="15" customHeight="1" x14ac:dyDescent="0.25">
      <c r="B50" s="73" t="s">
        <v>98</v>
      </c>
      <c r="C50" s="225">
        <f>SUM(C51:C55)</f>
        <v>0</v>
      </c>
      <c r="D50" s="211">
        <f t="shared" ref="D50:G50" si="9">SUM(D51:D55)</f>
        <v>0</v>
      </c>
      <c r="E50" s="211">
        <f t="shared" si="9"/>
        <v>0</v>
      </c>
      <c r="F50" s="211">
        <f t="shared" si="9"/>
        <v>0</v>
      </c>
      <c r="G50" s="112">
        <f t="shared" si="9"/>
        <v>0</v>
      </c>
      <c r="H50" s="212" t="str">
        <f t="shared" ref="H50:H55" si="10">IFERROR(IF(AND(F50&lt;0,G50&lt;=0),-(G50-F50)/F50,IF(AND(F50&lt;0,G50&gt;0),-(G50-F50)/F50,(G50-F50)/F50)),"")</f>
        <v/>
      </c>
    </row>
    <row r="51" spans="2:8" ht="15" customHeight="1" x14ac:dyDescent="0.25">
      <c r="B51" s="74" t="s">
        <v>115</v>
      </c>
      <c r="C51" s="217"/>
      <c r="D51" s="205"/>
      <c r="E51" s="205"/>
      <c r="F51" s="205"/>
      <c r="G51" s="206"/>
      <c r="H51" s="216" t="str">
        <f t="shared" si="10"/>
        <v/>
      </c>
    </row>
    <row r="52" spans="2:8" ht="15" customHeight="1" x14ac:dyDescent="0.25">
      <c r="B52" s="77" t="s">
        <v>116</v>
      </c>
      <c r="C52" s="218"/>
      <c r="D52" s="207"/>
      <c r="E52" s="207"/>
      <c r="F52" s="207"/>
      <c r="G52" s="208"/>
      <c r="H52" s="214" t="str">
        <f t="shared" si="10"/>
        <v/>
      </c>
    </row>
    <row r="53" spans="2:8" ht="15" customHeight="1" x14ac:dyDescent="0.25">
      <c r="B53" s="77" t="s">
        <v>100</v>
      </c>
      <c r="C53" s="218"/>
      <c r="D53" s="207"/>
      <c r="E53" s="207"/>
      <c r="F53" s="207"/>
      <c r="G53" s="208"/>
      <c r="H53" s="214" t="str">
        <f t="shared" si="10"/>
        <v/>
      </c>
    </row>
    <row r="54" spans="2:8" ht="15" customHeight="1" x14ac:dyDescent="0.25">
      <c r="B54" s="77" t="s">
        <v>101</v>
      </c>
      <c r="C54" s="218"/>
      <c r="D54" s="207"/>
      <c r="E54" s="207"/>
      <c r="F54" s="207"/>
      <c r="G54" s="208"/>
      <c r="H54" s="214" t="str">
        <f t="shared" si="10"/>
        <v/>
      </c>
    </row>
    <row r="55" spans="2:8" ht="15" customHeight="1" x14ac:dyDescent="0.25">
      <c r="B55" s="77" t="s">
        <v>468</v>
      </c>
      <c r="C55" s="218"/>
      <c r="D55" s="207"/>
      <c r="E55" s="207"/>
      <c r="F55" s="207"/>
      <c r="G55" s="208"/>
      <c r="H55" s="214" t="str">
        <f t="shared" si="10"/>
        <v/>
      </c>
    </row>
    <row r="56" spans="2:8" ht="15" customHeight="1" x14ac:dyDescent="0.25">
      <c r="B56" s="73" t="s">
        <v>102</v>
      </c>
      <c r="C56" s="225">
        <f>SUM(C57:C62)</f>
        <v>0</v>
      </c>
      <c r="D56" s="211">
        <f t="shared" ref="D56:G56" si="11">SUM(D57:D62)</f>
        <v>0</v>
      </c>
      <c r="E56" s="211">
        <f t="shared" si="11"/>
        <v>0</v>
      </c>
      <c r="F56" s="211">
        <f t="shared" si="11"/>
        <v>0</v>
      </c>
      <c r="G56" s="112">
        <f t="shared" si="11"/>
        <v>4042425.0500000003</v>
      </c>
      <c r="H56" s="212" t="str">
        <f t="shared" ref="H56:H62" si="12">IFERROR(IF(AND(F56&lt;0,G56&lt;=0),-(G56-F56)/F56,IF(AND(F56&lt;0,G56&gt;0),-(G56-F56)/F56,(G56-F56)/F56)),"")</f>
        <v/>
      </c>
    </row>
    <row r="57" spans="2:8" ht="15" customHeight="1" x14ac:dyDescent="0.25">
      <c r="B57" s="74" t="s">
        <v>103</v>
      </c>
      <c r="C57" s="217"/>
      <c r="D57" s="205"/>
      <c r="E57" s="205"/>
      <c r="F57" s="205"/>
      <c r="G57" s="206">
        <v>563848.42000000004</v>
      </c>
      <c r="H57" s="216" t="str">
        <f t="shared" si="12"/>
        <v/>
      </c>
    </row>
    <row r="58" spans="2:8" ht="15" customHeight="1" x14ac:dyDescent="0.25">
      <c r="B58" s="77" t="s">
        <v>99</v>
      </c>
      <c r="C58" s="218"/>
      <c r="D58" s="207"/>
      <c r="E58" s="207"/>
      <c r="F58" s="207"/>
      <c r="G58" s="208"/>
      <c r="H58" s="214" t="str">
        <f t="shared" si="12"/>
        <v/>
      </c>
    </row>
    <row r="59" spans="2:8" ht="15" customHeight="1" x14ac:dyDescent="0.25">
      <c r="B59" s="77" t="s">
        <v>115</v>
      </c>
      <c r="C59" s="218"/>
      <c r="D59" s="207"/>
      <c r="E59" s="207"/>
      <c r="F59" s="207"/>
      <c r="G59" s="208"/>
      <c r="H59" s="214" t="str">
        <f t="shared" si="12"/>
        <v/>
      </c>
    </row>
    <row r="60" spans="2:8" ht="15" customHeight="1" x14ac:dyDescent="0.25">
      <c r="B60" s="77" t="s">
        <v>100</v>
      </c>
      <c r="C60" s="218"/>
      <c r="D60" s="207"/>
      <c r="E60" s="207"/>
      <c r="F60" s="207"/>
      <c r="G60" s="208"/>
      <c r="H60" s="214" t="str">
        <f t="shared" si="12"/>
        <v/>
      </c>
    </row>
    <row r="61" spans="2:8" ht="15" customHeight="1" x14ac:dyDescent="0.25">
      <c r="B61" s="77" t="s">
        <v>104</v>
      </c>
      <c r="C61" s="218"/>
      <c r="D61" s="207"/>
      <c r="E61" s="207"/>
      <c r="F61" s="207"/>
      <c r="G61" s="208">
        <v>531773.49</v>
      </c>
      <c r="H61" s="214" t="str">
        <f t="shared" si="12"/>
        <v/>
      </c>
    </row>
    <row r="62" spans="2:8" ht="15" customHeight="1" x14ac:dyDescent="0.25">
      <c r="B62" s="77" t="s">
        <v>105</v>
      </c>
      <c r="C62" s="218"/>
      <c r="D62" s="207"/>
      <c r="E62" s="207"/>
      <c r="F62" s="207"/>
      <c r="G62" s="208">
        <v>2946803.14</v>
      </c>
      <c r="H62" s="214" t="str">
        <f t="shared" si="12"/>
        <v/>
      </c>
    </row>
    <row r="63" spans="2:8" ht="15" customHeight="1" x14ac:dyDescent="0.25">
      <c r="B63" s="79" t="s">
        <v>106</v>
      </c>
      <c r="C63" s="116">
        <f>C50+C56</f>
        <v>0</v>
      </c>
      <c r="D63" s="92">
        <f>D50+D56</f>
        <v>0</v>
      </c>
      <c r="E63" s="92">
        <f>E50+E56</f>
        <v>0</v>
      </c>
      <c r="F63" s="92">
        <f>F50+F56</f>
        <v>0</v>
      </c>
      <c r="G63" s="92">
        <f>G50+G56</f>
        <v>4042425.0500000003</v>
      </c>
      <c r="H63" s="64" t="str">
        <f>IFERROR(IF(AND(F63&lt;0,G63&lt;=0),-(G63-F63)/F63,IF(AND(F63&lt;0,G63&gt;0),-(G63-F63)/F63,(G63-F63)/F63)),"")</f>
        <v/>
      </c>
    </row>
    <row r="64" spans="2:8" ht="15" customHeight="1" x14ac:dyDescent="0.25">
      <c r="B64" s="80"/>
      <c r="C64" s="108"/>
      <c r="D64" s="109"/>
      <c r="E64" s="109"/>
      <c r="F64" s="109"/>
      <c r="G64" s="110"/>
      <c r="H64" s="111"/>
    </row>
    <row r="65" spans="2:8" ht="15" customHeight="1" x14ac:dyDescent="0.25">
      <c r="B65" s="79" t="s">
        <v>120</v>
      </c>
      <c r="C65" s="116">
        <f>C48+C63</f>
        <v>0</v>
      </c>
      <c r="D65" s="92">
        <f>D48+D63</f>
        <v>0</v>
      </c>
      <c r="E65" s="92">
        <f>E48+E63</f>
        <v>0</v>
      </c>
      <c r="F65" s="92">
        <f>F48+F63</f>
        <v>0</v>
      </c>
      <c r="G65" s="92">
        <f>G48+G63</f>
        <v>-2367454.7799999998</v>
      </c>
      <c r="H65" s="64" t="str">
        <f>IFERROR(IF(AND(F65&lt;0,G65&lt;=0),-(G65-F65)/F65,IF(AND(F65&lt;0,G65&gt;0),-(G65-F65)/F65,(G65-F65)/F65)),"")</f>
        <v/>
      </c>
    </row>
    <row r="66" spans="2:8" ht="15" customHeight="1" x14ac:dyDescent="0.25">
      <c r="B66" s="82" t="s">
        <v>121</v>
      </c>
      <c r="C66" s="117">
        <f>C65-C35</f>
        <v>0</v>
      </c>
      <c r="D66" s="94">
        <f>D65-D35</f>
        <v>0</v>
      </c>
      <c r="E66" s="94">
        <f>E65-E35</f>
        <v>0</v>
      </c>
      <c r="F66" s="94">
        <f>F65-F35</f>
        <v>0</v>
      </c>
      <c r="G66" s="94">
        <f>G65-G35</f>
        <v>-732599.94999999972</v>
      </c>
      <c r="H66" s="65"/>
    </row>
    <row r="67" spans="2:8" ht="15" customHeight="1" x14ac:dyDescent="0.25"/>
    <row r="68" spans="2:8" ht="15" customHeight="1" x14ac:dyDescent="0.25"/>
    <row r="69" spans="2:8" ht="15" customHeight="1" x14ac:dyDescent="0.25"/>
    <row r="70" spans="2:8" ht="21.75" customHeight="1" x14ac:dyDescent="0.25">
      <c r="B70" s="370" t="s">
        <v>122</v>
      </c>
      <c r="C70" s="371"/>
      <c r="D70" s="371"/>
      <c r="E70" s="371"/>
      <c r="F70" s="371"/>
      <c r="G70" s="371"/>
      <c r="H70" s="372"/>
    </row>
    <row r="71" spans="2:8" ht="15" customHeight="1" x14ac:dyDescent="0.25">
      <c r="G71" s="122" t="s">
        <v>432</v>
      </c>
      <c r="H71" s="121" t="str">
        <f>IF(COVER!$K$6&lt;&gt;"",CONCATENATE("milhares ",COVER!$K$6),"")</f>
        <v>milhares MZN</v>
      </c>
    </row>
    <row r="72" spans="2:8" s="31" customFormat="1" ht="31.5" customHeight="1" x14ac:dyDescent="0.25">
      <c r="B72" s="32"/>
      <c r="C72" s="49">
        <f>IF(D72&lt;&gt;"",D72-1,"")</f>
        <v>2017</v>
      </c>
      <c r="D72" s="50">
        <f>IF(E72&lt;&gt;"",E72-1,"")</f>
        <v>2018</v>
      </c>
      <c r="E72" s="50">
        <f>IF(F72&lt;&gt;"",F72-1,"")</f>
        <v>2019</v>
      </c>
      <c r="F72" s="50">
        <f>IF(G72&lt;&gt;"",G72-1,"")</f>
        <v>2020</v>
      </c>
      <c r="G72" s="55">
        <f>$E$3</f>
        <v>2021</v>
      </c>
      <c r="H72" s="66" t="str">
        <f>IF(AND(F72&lt;&gt;"",G72&lt;&gt;""),CONCATENATE("Variação % (",G72,"/",F72,")"),"")</f>
        <v>Variação % (2021/2020)</v>
      </c>
    </row>
    <row r="73" spans="2:8" ht="15" customHeight="1" x14ac:dyDescent="0.25"/>
    <row r="74" spans="2:8" ht="15" customHeight="1" x14ac:dyDescent="0.25">
      <c r="B74" s="48" t="s">
        <v>123</v>
      </c>
      <c r="C74" s="224">
        <f>'DETALHE GANHOS E GASTOS'!D131+'DETALHE GANHOS E GASTOS'!D143</f>
        <v>0</v>
      </c>
      <c r="D74" s="224">
        <f>'DETALHE GANHOS E GASTOS'!E131+'DETALHE GANHOS E GASTOS'!E143</f>
        <v>0</v>
      </c>
      <c r="E74" s="224">
        <f>'DETALHE GANHOS E GASTOS'!F131+'DETALHE GANHOS E GASTOS'!F143</f>
        <v>0</v>
      </c>
      <c r="F74" s="224">
        <f>'DETALHE GANHOS E GASTOS'!G131+'DETALHE GANHOS E GASTOS'!G143</f>
        <v>0</v>
      </c>
      <c r="G74" s="88">
        <f>'DETALHE GANHOS E GASTOS'!H131+'DETALHE GANHOS E GASTOS'!H143</f>
        <v>732600</v>
      </c>
      <c r="H74" s="214" t="str">
        <f t="shared" ref="H74:H81" si="13">IFERROR(IF(AND(F74&lt;0,G74&lt;=0),-(G74-F74)/F74,IF(AND(F74&lt;0,G74&gt;0),-(G74-F74)/F74,(G74-F74)/F74)),"")</f>
        <v/>
      </c>
    </row>
    <row r="75" spans="2:8" ht="15" customHeight="1" x14ac:dyDescent="0.25">
      <c r="B75" s="48" t="s">
        <v>124</v>
      </c>
      <c r="C75" s="224">
        <f>-'DETALHE GANHOS E GASTOS'!D14</f>
        <v>0</v>
      </c>
      <c r="D75" s="224">
        <f>-'DETALHE GANHOS E GASTOS'!E14</f>
        <v>0</v>
      </c>
      <c r="E75" s="224">
        <f>-'DETALHE GANHOS E GASTOS'!F14</f>
        <v>0</v>
      </c>
      <c r="F75" s="224">
        <f>-'DETALHE GANHOS E GASTOS'!G14</f>
        <v>0</v>
      </c>
      <c r="G75" s="88">
        <f>-'DETALHE GANHOS E GASTOS'!H14</f>
        <v>0</v>
      </c>
      <c r="H75" s="214" t="str">
        <f t="shared" si="13"/>
        <v/>
      </c>
    </row>
    <row r="76" spans="2:8" ht="15" customHeight="1" x14ac:dyDescent="0.25">
      <c r="B76" s="48" t="s">
        <v>125</v>
      </c>
      <c r="C76" s="224">
        <f>-'DETALHE GANHOS E GASTOS'!D18</f>
        <v>0</v>
      </c>
      <c r="D76" s="224">
        <f>-'DETALHE GANHOS E GASTOS'!E18</f>
        <v>0</v>
      </c>
      <c r="E76" s="224">
        <f>-'DETALHE GANHOS E GASTOS'!F18</f>
        <v>0</v>
      </c>
      <c r="F76" s="224">
        <f>-'DETALHE GANHOS E GASTOS'!G18</f>
        <v>0</v>
      </c>
      <c r="G76" s="88">
        <f>-'DETALHE GANHOS E GASTOS'!H18</f>
        <v>-4935151.17</v>
      </c>
      <c r="H76" s="214" t="str">
        <f t="shared" si="13"/>
        <v/>
      </c>
    </row>
    <row r="77" spans="2:8" ht="15" customHeight="1" x14ac:dyDescent="0.25">
      <c r="B77" s="48" t="s">
        <v>126</v>
      </c>
      <c r="C77" s="224">
        <f>-'DETALHE GANHOS E GASTOS'!D30</f>
        <v>0</v>
      </c>
      <c r="D77" s="224">
        <f>-'DETALHE GANHOS E GASTOS'!E30</f>
        <v>0</v>
      </c>
      <c r="E77" s="224">
        <f>-'DETALHE GANHOS E GASTOS'!F30</f>
        <v>0</v>
      </c>
      <c r="F77" s="224">
        <f>-'DETALHE GANHOS E GASTOS'!G30</f>
        <v>0</v>
      </c>
      <c r="G77" s="88">
        <f>-'DETALHE GANHOS E GASTOS'!H30</f>
        <v>-1778819.48</v>
      </c>
      <c r="H77" s="214" t="str">
        <f t="shared" si="13"/>
        <v/>
      </c>
    </row>
    <row r="78" spans="2:8" ht="15" customHeight="1" x14ac:dyDescent="0.25">
      <c r="B78" s="48" t="s">
        <v>127</v>
      </c>
      <c r="C78" s="224">
        <f>-'DETALHE GANHOS E GASTOS'!D75</f>
        <v>0</v>
      </c>
      <c r="D78" s="224">
        <f>-'DETALHE GANHOS E GASTOS'!E75</f>
        <v>0</v>
      </c>
      <c r="E78" s="224">
        <f>-'DETALHE GANHOS E GASTOS'!F75</f>
        <v>0</v>
      </c>
      <c r="F78" s="224">
        <f>-'DETALHE GANHOS E GASTOS'!G75</f>
        <v>0</v>
      </c>
      <c r="G78" s="88">
        <f>-'DETALHE GANHOS E GASTOS'!H75</f>
        <v>0</v>
      </c>
      <c r="H78" s="214" t="str">
        <f t="shared" si="13"/>
        <v/>
      </c>
    </row>
    <row r="79" spans="2:8" ht="15" customHeight="1" x14ac:dyDescent="0.25">
      <c r="B79" s="48" t="s">
        <v>128</v>
      </c>
      <c r="C79" s="224">
        <f>-'DETALHE GANHOS E GASTOS'!D82</f>
        <v>0</v>
      </c>
      <c r="D79" s="224">
        <f>-'DETALHE GANHOS E GASTOS'!E82</f>
        <v>0</v>
      </c>
      <c r="E79" s="224">
        <f>-'DETALHE GANHOS E GASTOS'!F82</f>
        <v>0</v>
      </c>
      <c r="F79" s="224">
        <f>-'DETALHE GANHOS E GASTOS'!G82</f>
        <v>0</v>
      </c>
      <c r="G79" s="88">
        <f>-'DETALHE GANHOS E GASTOS'!H82</f>
        <v>0</v>
      </c>
      <c r="H79" s="214" t="str">
        <f t="shared" si="13"/>
        <v/>
      </c>
    </row>
    <row r="80" spans="2:8" ht="15" customHeight="1" x14ac:dyDescent="0.25">
      <c r="B80" s="48" t="s">
        <v>129</v>
      </c>
      <c r="C80" s="224">
        <f>'DETALHE GANHOS E GASTOS'!D203-'DETALHE GANHOS E GASTOS'!D94</f>
        <v>0</v>
      </c>
      <c r="D80" s="224">
        <f>'DETALHE GANHOS E GASTOS'!E203-'DETALHE GANHOS E GASTOS'!E94</f>
        <v>0</v>
      </c>
      <c r="E80" s="224">
        <f>'DETALHE GANHOS E GASTOS'!F203-'DETALHE GANHOS E GASTOS'!F94</f>
        <v>0</v>
      </c>
      <c r="F80" s="224">
        <f>'DETALHE GANHOS E GASTOS'!G203-'DETALHE GANHOS E GASTOS'!G94</f>
        <v>0</v>
      </c>
      <c r="G80" s="88">
        <f>'DETALHE GANHOS E GASTOS'!H203-'DETALHE GANHOS E GASTOS'!H94</f>
        <v>0</v>
      </c>
      <c r="H80" s="214" t="str">
        <f t="shared" si="13"/>
        <v/>
      </c>
    </row>
    <row r="81" spans="2:8" ht="15" customHeight="1" x14ac:dyDescent="0.25">
      <c r="B81" s="48" t="s">
        <v>130</v>
      </c>
      <c r="C81" s="224">
        <f>'DETALHE GANHOS E GASTOS'!D153+'DETALHE GANHOS E GASTOS'!D161+'DETALHE GANHOS E GASTOS'!D167+'DETALHE GANHOS E GASTOS'!D179-'DETALHE GANHOS E GASTOS'!D67-'DETALHE GANHOS E GASTOS'!D101</f>
        <v>0</v>
      </c>
      <c r="D81" s="224">
        <f>'DETALHE GANHOS E GASTOS'!E153+'DETALHE GANHOS E GASTOS'!E161+'DETALHE GANHOS E GASTOS'!E167+'DETALHE GANHOS E GASTOS'!E179-'DETALHE GANHOS E GASTOS'!E67-'DETALHE GANHOS E GASTOS'!E101</f>
        <v>0</v>
      </c>
      <c r="E81" s="224">
        <f>'DETALHE GANHOS E GASTOS'!F153+'DETALHE GANHOS E GASTOS'!F161+'DETALHE GANHOS E GASTOS'!F167+'DETALHE GANHOS E GASTOS'!F179-'DETALHE GANHOS E GASTOS'!F67-'DETALHE GANHOS E GASTOS'!F101</f>
        <v>0</v>
      </c>
      <c r="F81" s="224">
        <f>'DETALHE GANHOS E GASTOS'!G153+'DETALHE GANHOS E GASTOS'!G161+'DETALHE GANHOS E GASTOS'!G167+'DETALHE GANHOS E GASTOS'!G179-'DETALHE GANHOS E GASTOS'!G67-'DETALHE GANHOS E GASTOS'!G101</f>
        <v>0</v>
      </c>
      <c r="G81" s="88">
        <f>'DETALHE GANHOS E GASTOS'!H153+'DETALHE GANHOS E GASTOS'!H161+'DETALHE GANHOS E GASTOS'!H167+'DETALHE GANHOS E GASTOS'!H179-'DETALHE GANHOS E GASTOS'!H67-'DETALHE GANHOS E GASTOS'!H101</f>
        <v>-408314.89</v>
      </c>
      <c r="H81" s="214" t="str">
        <f t="shared" si="13"/>
        <v/>
      </c>
    </row>
    <row r="82" spans="2:8" ht="15" customHeight="1" x14ac:dyDescent="0.25">
      <c r="B82" s="53" t="s">
        <v>131</v>
      </c>
      <c r="C82" s="211">
        <f>SUM(C74:C81)</f>
        <v>0</v>
      </c>
      <c r="D82" s="211">
        <f>SUM(D74:D81)</f>
        <v>0</v>
      </c>
      <c r="E82" s="211">
        <f>SUM(E74:E81)</f>
        <v>0</v>
      </c>
      <c r="F82" s="211">
        <f>SUM(F74:F81)</f>
        <v>0</v>
      </c>
      <c r="G82" s="90">
        <f>SUM(G74:G81)</f>
        <v>-6389685.54</v>
      </c>
      <c r="H82" s="212" t="str">
        <f t="shared" ref="H82" si="14">IFERROR(IF(AND(F82&lt;0,G82&lt;=0),-(G82-F82)/F82,IF(AND(F82&lt;0,G82&gt;0),-(G82-F82)/F82,(G82-F82)/F82)),"")</f>
        <v/>
      </c>
    </row>
    <row r="83" spans="2:8" ht="15" customHeight="1" x14ac:dyDescent="0.25">
      <c r="B83" s="48" t="s">
        <v>132</v>
      </c>
      <c r="C83" s="224">
        <f>'DETALHE GANHOS E GASTOS'!D191</f>
        <v>0</v>
      </c>
      <c r="D83" s="224">
        <f>'DETALHE GANHOS E GASTOS'!E191</f>
        <v>0</v>
      </c>
      <c r="E83" s="224">
        <f>'DETALHE GANHOS E GASTOS'!F191</f>
        <v>0</v>
      </c>
      <c r="F83" s="224">
        <f>'DETALHE GANHOS E GASTOS'!G191</f>
        <v>0</v>
      </c>
      <c r="G83" s="88">
        <f>'DETALHE GANHOS E GASTOS'!H191</f>
        <v>526.20000000000005</v>
      </c>
      <c r="H83" s="214" t="str">
        <f t="shared" ref="H83:H84" si="15">IFERROR(IF(AND(F83&lt;0,G83&lt;=0),-(G83-F83)/F83,IF(AND(F83&lt;0,G83&gt;0),-(G83-F83)/F83,(G83-F83)/F83)),"")</f>
        <v/>
      </c>
    </row>
    <row r="84" spans="2:8" ht="15" customHeight="1" x14ac:dyDescent="0.25">
      <c r="B84" s="48" t="s">
        <v>133</v>
      </c>
      <c r="C84" s="224">
        <f>-'DETALHE GANHOS E GASTOS'!D113</f>
        <v>0</v>
      </c>
      <c r="D84" s="224">
        <f>-'DETALHE GANHOS E GASTOS'!E113</f>
        <v>0</v>
      </c>
      <c r="E84" s="224">
        <f>-'DETALHE GANHOS E GASTOS'!F113</f>
        <v>0</v>
      </c>
      <c r="F84" s="224">
        <f>-'DETALHE GANHOS E GASTOS'!G113</f>
        <v>0</v>
      </c>
      <c r="G84" s="88">
        <f>-'DETALHE GANHOS E GASTOS'!H113</f>
        <v>-20720.490000000002</v>
      </c>
      <c r="H84" s="214" t="str">
        <f t="shared" si="15"/>
        <v/>
      </c>
    </row>
    <row r="85" spans="2:8" ht="15" customHeight="1" x14ac:dyDescent="0.25">
      <c r="B85" s="53" t="s">
        <v>134</v>
      </c>
      <c r="C85" s="211">
        <f>C82+SUM(C83:C84)</f>
        <v>0</v>
      </c>
      <c r="D85" s="211">
        <f>D82+SUM(D83:D84)</f>
        <v>0</v>
      </c>
      <c r="E85" s="211">
        <f>E82+SUM(E83:E84)</f>
        <v>0</v>
      </c>
      <c r="F85" s="211">
        <f>F82+SUM(F83:F84)</f>
        <v>0</v>
      </c>
      <c r="G85" s="90">
        <f>G82+SUM(G83:G84)</f>
        <v>-6409879.8300000001</v>
      </c>
      <c r="H85" s="212" t="str">
        <f t="shared" ref="H85" si="16">IFERROR(IF(AND(F85&lt;0,G85&lt;=0),-(G85-F85)/F85,IF(AND(F85&lt;0,G85&gt;0),-(G85-F85)/F85,(G85-F85)/F85)),"")</f>
        <v/>
      </c>
    </row>
    <row r="86" spans="2:8" ht="15" customHeight="1" x14ac:dyDescent="0.25">
      <c r="B86" s="48" t="s">
        <v>135</v>
      </c>
      <c r="C86" s="224">
        <f>'DETALHE GANHOS E GASTOS'!D219</f>
        <v>0</v>
      </c>
      <c r="D86" s="224">
        <f>'DETALHE GANHOS E GASTOS'!E219</f>
        <v>0</v>
      </c>
      <c r="E86" s="224">
        <f>'DETALHE GANHOS E GASTOS'!F219</f>
        <v>0</v>
      </c>
      <c r="F86" s="224">
        <f>'DETALHE GANHOS E GASTOS'!G219</f>
        <v>0</v>
      </c>
      <c r="G86" s="88">
        <f>'DETALHE GANHOS E GASTOS'!H219</f>
        <v>0</v>
      </c>
      <c r="H86" s="215" t="str">
        <f t="shared" ref="H86" si="17">IFERROR(IF(AND(F86&lt;0,G86&lt;=0),-(G86-F86)/F86,IF(AND(F86&lt;0,G86&gt;0),-(G86-F86)/F86,(G86-F86)/F86)),"")</f>
        <v/>
      </c>
    </row>
    <row r="87" spans="2:8" ht="15" customHeight="1" x14ac:dyDescent="0.25">
      <c r="B87" s="54" t="s">
        <v>136</v>
      </c>
      <c r="C87" s="92">
        <f>C85+C86</f>
        <v>0</v>
      </c>
      <c r="D87" s="92">
        <f>D85+D86</f>
        <v>0</v>
      </c>
      <c r="E87" s="92">
        <f>E85+E86</f>
        <v>0</v>
      </c>
      <c r="F87" s="92">
        <f>F85+F86</f>
        <v>0</v>
      </c>
      <c r="G87" s="93">
        <f>G85+G86</f>
        <v>-6409879.8300000001</v>
      </c>
      <c r="H87" s="64" t="str">
        <f t="shared" ref="H87" si="18">IFERROR(IF(AND(F87&lt;0,G87&lt;=0),-(G87-F87)/F87,IF(AND(F87&lt;0,G87&gt;0),-(G87-F87)/F87,(G87-F87)/F87)),"")</f>
        <v/>
      </c>
    </row>
    <row r="88" spans="2:8" ht="15" customHeight="1" x14ac:dyDescent="0.25">
      <c r="B88" s="60" t="s">
        <v>121</v>
      </c>
      <c r="C88" s="94">
        <f>C87-C44</f>
        <v>0</v>
      </c>
      <c r="D88" s="94">
        <f>D87-D44</f>
        <v>0</v>
      </c>
      <c r="E88" s="94">
        <f>E87-E44</f>
        <v>0</v>
      </c>
      <c r="F88" s="94">
        <f>F87-F44</f>
        <v>0</v>
      </c>
      <c r="G88" s="94">
        <f>G87-G44</f>
        <v>0</v>
      </c>
      <c r="H88" s="65"/>
    </row>
    <row r="89" spans="2:8" ht="15" customHeight="1" x14ac:dyDescent="0.25">
      <c r="C89" s="85"/>
      <c r="D89" s="85"/>
      <c r="E89" s="85"/>
      <c r="F89" s="85"/>
      <c r="G89" s="85"/>
      <c r="H89" s="86"/>
    </row>
    <row r="90" spans="2:8" ht="15" customHeight="1" x14ac:dyDescent="0.25">
      <c r="C90" s="85"/>
      <c r="D90" s="85"/>
      <c r="E90" s="85"/>
      <c r="F90" s="85"/>
      <c r="G90" s="85"/>
      <c r="H90" s="86"/>
    </row>
    <row r="91" spans="2:8" ht="15" customHeight="1" x14ac:dyDescent="0.25"/>
    <row r="92" spans="2:8" ht="15" customHeight="1" x14ac:dyDescent="0.25">
      <c r="G92" s="122" t="s">
        <v>432</v>
      </c>
      <c r="H92" s="121" t="str">
        <f>IF(COVER!$K$6&lt;&gt;"",CONCATENATE("milhares ",COVER!$K$6),"")</f>
        <v>milhares MZN</v>
      </c>
    </row>
    <row r="93" spans="2:8" ht="21" customHeight="1" x14ac:dyDescent="0.25">
      <c r="B93" s="382" t="s">
        <v>137</v>
      </c>
      <c r="C93" s="381"/>
      <c r="D93" s="381"/>
      <c r="E93" s="381"/>
      <c r="F93" s="381"/>
      <c r="G93" s="381"/>
      <c r="H93" s="381"/>
    </row>
    <row r="94" spans="2:8" ht="15" customHeight="1" x14ac:dyDescent="0.25">
      <c r="B94" s="48" t="s">
        <v>171</v>
      </c>
      <c r="C94" s="224">
        <f>C35</f>
        <v>0</v>
      </c>
      <c r="D94" s="224">
        <f>D35</f>
        <v>0</v>
      </c>
      <c r="E94" s="224">
        <f>E35</f>
        <v>0</v>
      </c>
      <c r="F94" s="224">
        <f>F35</f>
        <v>0</v>
      </c>
      <c r="G94" s="88">
        <f>G35</f>
        <v>-1634854.83</v>
      </c>
      <c r="H94" s="214" t="str">
        <f t="shared" ref="H94:H96" si="19">IFERROR(IF(AND(F94&lt;0,G94&lt;=0),-(G94-F94)/F94,IF(AND(F94&lt;0,G94&gt;0),-(G94-F94)/F94,(G94-F94)/F94)),"")</f>
        <v/>
      </c>
    </row>
    <row r="95" spans="2:8" ht="15" customHeight="1" x14ac:dyDescent="0.25">
      <c r="B95" s="48" t="s">
        <v>172</v>
      </c>
      <c r="C95" s="224">
        <f>C63</f>
        <v>0</v>
      </c>
      <c r="D95" s="224">
        <f>D63</f>
        <v>0</v>
      </c>
      <c r="E95" s="224">
        <f>E63</f>
        <v>0</v>
      </c>
      <c r="F95" s="224">
        <f>F63</f>
        <v>0</v>
      </c>
      <c r="G95" s="88">
        <f>G63</f>
        <v>4042425.0500000003</v>
      </c>
      <c r="H95" s="214" t="str">
        <f t="shared" si="19"/>
        <v/>
      </c>
    </row>
    <row r="96" spans="2:8" ht="15" customHeight="1" x14ac:dyDescent="0.25">
      <c r="B96" s="48" t="s">
        <v>173</v>
      </c>
      <c r="C96" s="224">
        <f>C48</f>
        <v>0</v>
      </c>
      <c r="D96" s="224">
        <f>D48</f>
        <v>0</v>
      </c>
      <c r="E96" s="224">
        <f>E48</f>
        <v>0</v>
      </c>
      <c r="F96" s="224">
        <f>F48</f>
        <v>0</v>
      </c>
      <c r="G96" s="88">
        <f>G48</f>
        <v>-6409879.8300000001</v>
      </c>
      <c r="H96" s="214" t="str">
        <f t="shared" si="19"/>
        <v/>
      </c>
    </row>
    <row r="97" spans="2:8" ht="15" customHeight="1" x14ac:dyDescent="0.25">
      <c r="C97" s="95"/>
      <c r="D97" s="95"/>
      <c r="E97" s="95"/>
      <c r="F97" s="95"/>
      <c r="G97" s="95"/>
    </row>
    <row r="98" spans="2:8" ht="15" customHeight="1" x14ac:dyDescent="0.25">
      <c r="B98" s="48" t="s">
        <v>123</v>
      </c>
      <c r="C98" s="224">
        <f t="shared" ref="C98:G99" si="20">C74</f>
        <v>0</v>
      </c>
      <c r="D98" s="224">
        <f t="shared" si="20"/>
        <v>0</v>
      </c>
      <c r="E98" s="224">
        <f t="shared" si="20"/>
        <v>0</v>
      </c>
      <c r="F98" s="224">
        <f t="shared" si="20"/>
        <v>0</v>
      </c>
      <c r="G98" s="88">
        <f t="shared" si="20"/>
        <v>732600</v>
      </c>
      <c r="H98" s="214" t="str">
        <f t="shared" ref="H98:H99" si="21">IFERROR(IF(AND(F98&lt;0,G98&lt;=0),-(G98-F98)/F98,IF(AND(F98&lt;0,G98&gt;0),-(G98-F98)/F98,(G98-F98)/F98)),"")</f>
        <v/>
      </c>
    </row>
    <row r="99" spans="2:8" ht="15" customHeight="1" x14ac:dyDescent="0.25">
      <c r="B99" s="48" t="s">
        <v>124</v>
      </c>
      <c r="C99" s="224">
        <f t="shared" si="20"/>
        <v>0</v>
      </c>
      <c r="D99" s="224">
        <f t="shared" si="20"/>
        <v>0</v>
      </c>
      <c r="E99" s="224">
        <f t="shared" si="20"/>
        <v>0</v>
      </c>
      <c r="F99" s="224">
        <f t="shared" si="20"/>
        <v>0</v>
      </c>
      <c r="G99" s="88">
        <f t="shared" si="20"/>
        <v>0</v>
      </c>
      <c r="H99" s="214" t="str">
        <f t="shared" si="21"/>
        <v/>
      </c>
    </row>
    <row r="100" spans="2:8" ht="15" customHeight="1" x14ac:dyDescent="0.25">
      <c r="B100" s="83" t="s">
        <v>166</v>
      </c>
      <c r="C100" s="231" t="str">
        <f>IFERROR((C98+C99)/C98,"")</f>
        <v/>
      </c>
      <c r="D100" s="231" t="str">
        <f>IFERROR((D98+D99)/D98,"")</f>
        <v/>
      </c>
      <c r="E100" s="231" t="str">
        <f>IFERROR((E98+E99)/E98,"")</f>
        <v/>
      </c>
      <c r="F100" s="231" t="str">
        <f>IFERROR((F98+F99)/F98,"")</f>
        <v/>
      </c>
      <c r="G100" s="84">
        <f>IFERROR((G98+G99)/G98,"")</f>
        <v>1</v>
      </c>
      <c r="H100" s="214"/>
    </row>
    <row r="101" spans="2:8" ht="15" customHeight="1" x14ac:dyDescent="0.25">
      <c r="B101" s="48" t="s">
        <v>167</v>
      </c>
      <c r="C101" s="224">
        <f>C82-C78</f>
        <v>0</v>
      </c>
      <c r="D101" s="224">
        <f>D82-D78</f>
        <v>0</v>
      </c>
      <c r="E101" s="224">
        <f>E82-E78</f>
        <v>0</v>
      </c>
      <c r="F101" s="224">
        <f>F82-F78</f>
        <v>0</v>
      </c>
      <c r="G101" s="88">
        <f>G82-G78</f>
        <v>-6389685.54</v>
      </c>
      <c r="H101" s="214" t="str">
        <f t="shared" ref="H101:H103" si="22">IFERROR(IF(AND(F101&lt;0,G101&lt;=0),-(G101-F101)/F101,IF(AND(F101&lt;0,G101&gt;0),-(G101-F101)/F101,(G101-F101)/F101)),"")</f>
        <v/>
      </c>
    </row>
    <row r="102" spans="2:8" ht="15" customHeight="1" x14ac:dyDescent="0.25">
      <c r="B102" s="48" t="s">
        <v>127</v>
      </c>
      <c r="C102" s="224">
        <f>C78</f>
        <v>0</v>
      </c>
      <c r="D102" s="224">
        <f>D78</f>
        <v>0</v>
      </c>
      <c r="E102" s="224">
        <f>E78</f>
        <v>0</v>
      </c>
      <c r="F102" s="224">
        <f>F78</f>
        <v>0</v>
      </c>
      <c r="G102" s="88">
        <f>G78</f>
        <v>0</v>
      </c>
      <c r="H102" s="214" t="str">
        <f t="shared" si="22"/>
        <v/>
      </c>
    </row>
    <row r="103" spans="2:8" ht="15" customHeight="1" x14ac:dyDescent="0.25">
      <c r="B103" s="48" t="s">
        <v>168</v>
      </c>
      <c r="C103" s="224">
        <f>C101+C102</f>
        <v>0</v>
      </c>
      <c r="D103" s="224">
        <f t="shared" ref="D103:G103" si="23">D101+D102</f>
        <v>0</v>
      </c>
      <c r="E103" s="224">
        <f t="shared" si="23"/>
        <v>0</v>
      </c>
      <c r="F103" s="224">
        <f t="shared" si="23"/>
        <v>0</v>
      </c>
      <c r="G103" s="88">
        <f t="shared" si="23"/>
        <v>-6389685.54</v>
      </c>
      <c r="H103" s="214" t="str">
        <f t="shared" si="22"/>
        <v/>
      </c>
    </row>
    <row r="104" spans="2:8" ht="15" customHeight="1" x14ac:dyDescent="0.25">
      <c r="B104" s="83" t="s">
        <v>169</v>
      </c>
      <c r="C104" s="231" t="str">
        <f>IFERROR(C103/C98,"")</f>
        <v/>
      </c>
      <c r="D104" s="231" t="str">
        <f t="shared" ref="D104:G104" si="24">IFERROR(D103/D98,"")</f>
        <v/>
      </c>
      <c r="E104" s="231" t="str">
        <f t="shared" si="24"/>
        <v/>
      </c>
      <c r="F104" s="231" t="str">
        <f t="shared" si="24"/>
        <v/>
      </c>
      <c r="G104" s="84">
        <f t="shared" si="24"/>
        <v>-8.7219294840294843</v>
      </c>
      <c r="H104" s="214"/>
    </row>
    <row r="105" spans="2:8" ht="15" customHeight="1" x14ac:dyDescent="0.25">
      <c r="B105" s="48" t="s">
        <v>162</v>
      </c>
      <c r="C105" s="224">
        <f>C83+C84</f>
        <v>0</v>
      </c>
      <c r="D105" s="224">
        <f>D83+D84</f>
        <v>0</v>
      </c>
      <c r="E105" s="224">
        <f>E83+E84</f>
        <v>0</v>
      </c>
      <c r="F105" s="224">
        <f>F83+F84</f>
        <v>0</v>
      </c>
      <c r="G105" s="88">
        <f>G83+G84</f>
        <v>-20194.29</v>
      </c>
      <c r="H105" s="214" t="str">
        <f t="shared" ref="H105:H108" si="25">IFERROR(IF(AND(F105&lt;0,G105&lt;=0),-(G105-F105)/F105,IF(AND(F105&lt;0,G105&gt;0),-(G105-F105)/F105,(G105-F105)/F105)),"")</f>
        <v/>
      </c>
    </row>
    <row r="106" spans="2:8" ht="15" customHeight="1" x14ac:dyDescent="0.25">
      <c r="B106" s="48" t="s">
        <v>163</v>
      </c>
      <c r="C106" s="224">
        <f>C103+C105</f>
        <v>0</v>
      </c>
      <c r="D106" s="224">
        <f t="shared" ref="D106:G106" si="26">D103+D105</f>
        <v>0</v>
      </c>
      <c r="E106" s="224">
        <f t="shared" si="26"/>
        <v>0</v>
      </c>
      <c r="F106" s="224">
        <f t="shared" si="26"/>
        <v>0</v>
      </c>
      <c r="G106" s="88">
        <f t="shared" si="26"/>
        <v>-6409879.8300000001</v>
      </c>
      <c r="H106" s="214" t="str">
        <f t="shared" si="25"/>
        <v/>
      </c>
    </row>
    <row r="107" spans="2:8" ht="15" customHeight="1" x14ac:dyDescent="0.25">
      <c r="B107" s="48" t="s">
        <v>164</v>
      </c>
      <c r="C107" s="224">
        <f>C86</f>
        <v>0</v>
      </c>
      <c r="D107" s="224">
        <f t="shared" ref="D107:G107" si="27">D86</f>
        <v>0</v>
      </c>
      <c r="E107" s="224">
        <f t="shared" si="27"/>
        <v>0</v>
      </c>
      <c r="F107" s="224">
        <f t="shared" si="27"/>
        <v>0</v>
      </c>
      <c r="G107" s="88">
        <f t="shared" si="27"/>
        <v>0</v>
      </c>
      <c r="H107" s="214" t="str">
        <f t="shared" si="25"/>
        <v/>
      </c>
    </row>
    <row r="108" spans="2:8" ht="15" customHeight="1" x14ac:dyDescent="0.25">
      <c r="B108" s="48" t="s">
        <v>165</v>
      </c>
      <c r="C108" s="224">
        <f>C106+C107</f>
        <v>0</v>
      </c>
      <c r="D108" s="224">
        <f t="shared" ref="D108:G108" si="28">D106+D107</f>
        <v>0</v>
      </c>
      <c r="E108" s="224">
        <f t="shared" si="28"/>
        <v>0</v>
      </c>
      <c r="F108" s="224">
        <f t="shared" si="28"/>
        <v>0</v>
      </c>
      <c r="G108" s="88">
        <f t="shared" si="28"/>
        <v>-6409879.8300000001</v>
      </c>
      <c r="H108" s="214" t="str">
        <f t="shared" si="25"/>
        <v/>
      </c>
    </row>
    <row r="109" spans="2:8" ht="15" customHeight="1" x14ac:dyDescent="0.25">
      <c r="B109" s="83" t="s">
        <v>170</v>
      </c>
      <c r="C109" s="231" t="str">
        <f>IFERROR(C108/C98,"")</f>
        <v/>
      </c>
      <c r="D109" s="231" t="str">
        <f t="shared" ref="D109:G109" si="29">IFERROR(D108/D98,"")</f>
        <v/>
      </c>
      <c r="E109" s="231" t="str">
        <f t="shared" si="29"/>
        <v/>
      </c>
      <c r="F109" s="231" t="str">
        <f t="shared" si="29"/>
        <v/>
      </c>
      <c r="G109" s="84">
        <f t="shared" si="29"/>
        <v>-8.7494947174447173</v>
      </c>
      <c r="H109" s="214"/>
    </row>
    <row r="110" spans="2:8" ht="15" customHeight="1" x14ac:dyDescent="0.25"/>
    <row r="111" spans="2:8" ht="15" customHeight="1" x14ac:dyDescent="0.25"/>
    <row r="112" spans="2:8" ht="15" customHeight="1" x14ac:dyDescent="0.25"/>
    <row r="113" spans="2:8" ht="15" customHeight="1" x14ac:dyDescent="0.25">
      <c r="F113" s="122" t="s">
        <v>432</v>
      </c>
      <c r="G113" s="121" t="str">
        <f>IF(COVER!$K$6&lt;&gt;"",CONCATENATE("milhares ",COVER!$K$6),"")</f>
        <v>milhares MZN</v>
      </c>
    </row>
    <row r="114" spans="2:8" ht="21.75" customHeight="1" x14ac:dyDescent="0.25">
      <c r="B114" s="370" t="s">
        <v>138</v>
      </c>
      <c r="C114" s="377"/>
      <c r="D114" s="377"/>
      <c r="E114" s="377"/>
      <c r="F114" s="377"/>
      <c r="G114" s="377"/>
    </row>
    <row r="115" spans="2:8" ht="15" customHeight="1" x14ac:dyDescent="0.25"/>
    <row r="116" spans="2:8" s="31" customFormat="1" ht="31.5" customHeight="1" x14ac:dyDescent="0.25">
      <c r="B116" s="32"/>
      <c r="C116" s="49">
        <f>IF(D116&lt;&gt;"",D116-1,"")</f>
        <v>2017</v>
      </c>
      <c r="D116" s="50">
        <f>IF(E116&lt;&gt;"",E116-1,"")</f>
        <v>2018</v>
      </c>
      <c r="E116" s="50">
        <f>IF(F116&lt;&gt;"",F116-1,"")</f>
        <v>2019</v>
      </c>
      <c r="F116" s="50">
        <f>IF(G116&lt;&gt;"",G116-1,"")</f>
        <v>2020</v>
      </c>
      <c r="G116" s="55">
        <f>$E$3</f>
        <v>2021</v>
      </c>
      <c r="H116" s="57"/>
    </row>
    <row r="117" spans="2:8" ht="15" customHeight="1" x14ac:dyDescent="0.25"/>
    <row r="118" spans="2:8" ht="21" customHeight="1" x14ac:dyDescent="0.25">
      <c r="B118" s="382" t="s">
        <v>139</v>
      </c>
      <c r="C118" s="381"/>
      <c r="D118" s="381"/>
      <c r="E118" s="381"/>
      <c r="F118" s="381"/>
      <c r="G118" s="381"/>
    </row>
    <row r="119" spans="2:8" ht="15" customHeight="1" x14ac:dyDescent="0.25">
      <c r="B119" s="48" t="s">
        <v>136</v>
      </c>
      <c r="C119" s="207"/>
      <c r="D119" s="207"/>
      <c r="E119" s="207"/>
      <c r="F119" s="207"/>
      <c r="G119" s="232"/>
    </row>
    <row r="120" spans="2:8" ht="15" customHeight="1" x14ac:dyDescent="0.25">
      <c r="B120" s="58" t="s">
        <v>140</v>
      </c>
      <c r="C120" s="207"/>
      <c r="D120" s="207"/>
      <c r="E120" s="207"/>
      <c r="F120" s="207"/>
      <c r="G120" s="232"/>
    </row>
    <row r="121" spans="2:8" ht="15" customHeight="1" x14ac:dyDescent="0.25">
      <c r="B121" s="48" t="s">
        <v>127</v>
      </c>
      <c r="C121" s="207"/>
      <c r="D121" s="207"/>
      <c r="E121" s="207"/>
      <c r="F121" s="207"/>
      <c r="G121" s="232"/>
    </row>
    <row r="122" spans="2:8" ht="15" customHeight="1" x14ac:dyDescent="0.25">
      <c r="B122" s="48" t="s">
        <v>128</v>
      </c>
      <c r="C122" s="207"/>
      <c r="D122" s="207"/>
      <c r="E122" s="207"/>
      <c r="F122" s="207"/>
      <c r="G122" s="232"/>
    </row>
    <row r="123" spans="2:8" ht="15" customHeight="1" x14ac:dyDescent="0.25">
      <c r="B123" s="48" t="s">
        <v>141</v>
      </c>
      <c r="C123" s="207"/>
      <c r="D123" s="207"/>
      <c r="E123" s="207"/>
      <c r="F123" s="207"/>
      <c r="G123" s="232"/>
    </row>
    <row r="124" spans="2:8" ht="15" customHeight="1" x14ac:dyDescent="0.25">
      <c r="B124" s="48" t="s">
        <v>142</v>
      </c>
      <c r="C124" s="207"/>
      <c r="D124" s="207"/>
      <c r="E124" s="207"/>
      <c r="F124" s="207"/>
      <c r="G124" s="232"/>
    </row>
    <row r="125" spans="2:8" ht="15" customHeight="1" x14ac:dyDescent="0.25">
      <c r="B125" s="48" t="s">
        <v>143</v>
      </c>
      <c r="C125" s="207"/>
      <c r="D125" s="207"/>
      <c r="E125" s="207"/>
      <c r="F125" s="207"/>
      <c r="G125" s="232"/>
    </row>
    <row r="126" spans="2:8" ht="15" customHeight="1" x14ac:dyDescent="0.25">
      <c r="B126" s="48" t="s">
        <v>144</v>
      </c>
      <c r="C126" s="207"/>
      <c r="D126" s="207"/>
      <c r="E126" s="207"/>
      <c r="F126" s="207"/>
      <c r="G126" s="232"/>
    </row>
    <row r="127" spans="2:8" ht="15" customHeight="1" x14ac:dyDescent="0.25">
      <c r="B127" s="51" t="s">
        <v>145</v>
      </c>
      <c r="C127" s="220"/>
      <c r="D127" s="220"/>
      <c r="E127" s="220"/>
      <c r="F127" s="220"/>
      <c r="G127" s="233"/>
    </row>
    <row r="128" spans="2:8" ht="15" customHeight="1" x14ac:dyDescent="0.25">
      <c r="B128" s="51" t="s">
        <v>146</v>
      </c>
      <c r="C128" s="220"/>
      <c r="D128" s="220"/>
      <c r="E128" s="220"/>
      <c r="F128" s="220"/>
      <c r="G128" s="233"/>
    </row>
    <row r="129" spans="2:7" ht="15" customHeight="1" x14ac:dyDescent="0.25">
      <c r="B129" s="51" t="s">
        <v>147</v>
      </c>
      <c r="C129" s="220"/>
      <c r="D129" s="220"/>
      <c r="E129" s="220"/>
      <c r="F129" s="220"/>
      <c r="G129" s="233"/>
    </row>
    <row r="130" spans="2:7" ht="15" customHeight="1" x14ac:dyDescent="0.25">
      <c r="B130" s="53" t="s">
        <v>148</v>
      </c>
      <c r="C130" s="211">
        <f>C119+SUM(C121:C129)</f>
        <v>0</v>
      </c>
      <c r="D130" s="211">
        <f t="shared" ref="D130:G130" si="30">D119+SUM(D121:D129)</f>
        <v>0</v>
      </c>
      <c r="E130" s="211">
        <f t="shared" si="30"/>
        <v>0</v>
      </c>
      <c r="F130" s="211">
        <f t="shared" si="30"/>
        <v>0</v>
      </c>
      <c r="G130" s="90">
        <f t="shared" si="30"/>
        <v>0</v>
      </c>
    </row>
    <row r="131" spans="2:7" ht="15" customHeight="1" x14ac:dyDescent="0.25">
      <c r="B131" s="52"/>
      <c r="C131" s="96"/>
      <c r="D131" s="96"/>
      <c r="E131" s="96"/>
      <c r="F131" s="96"/>
      <c r="G131" s="97"/>
    </row>
    <row r="132" spans="2:7" ht="21" customHeight="1" x14ac:dyDescent="0.25">
      <c r="B132" s="382" t="s">
        <v>149</v>
      </c>
      <c r="C132" s="381"/>
      <c r="D132" s="381"/>
      <c r="E132" s="381"/>
      <c r="F132" s="381"/>
      <c r="G132" s="381"/>
    </row>
    <row r="133" spans="2:7" ht="15" customHeight="1" x14ac:dyDescent="0.25">
      <c r="B133" s="48" t="s">
        <v>150</v>
      </c>
      <c r="C133" s="207"/>
      <c r="D133" s="207"/>
      <c r="E133" s="207"/>
      <c r="F133" s="207"/>
      <c r="G133" s="232"/>
    </row>
    <row r="134" spans="2:7" ht="15" customHeight="1" x14ac:dyDescent="0.25">
      <c r="B134" s="48" t="s">
        <v>151</v>
      </c>
      <c r="C134" s="207"/>
      <c r="D134" s="207"/>
      <c r="E134" s="207"/>
      <c r="F134" s="207"/>
      <c r="G134" s="232"/>
    </row>
    <row r="135" spans="2:7" ht="15" customHeight="1" x14ac:dyDescent="0.25">
      <c r="B135" s="53" t="s">
        <v>152</v>
      </c>
      <c r="C135" s="211">
        <f>SUM(C133:C134)</f>
        <v>0</v>
      </c>
      <c r="D135" s="211">
        <f t="shared" ref="D135:G135" si="31">SUM(D133:D134)</f>
        <v>0</v>
      </c>
      <c r="E135" s="211">
        <f t="shared" si="31"/>
        <v>0</v>
      </c>
      <c r="F135" s="211">
        <f t="shared" si="31"/>
        <v>0</v>
      </c>
      <c r="G135" s="90">
        <f t="shared" si="31"/>
        <v>0</v>
      </c>
    </row>
    <row r="136" spans="2:7" ht="15" customHeight="1" x14ac:dyDescent="0.25">
      <c r="B136" s="48"/>
      <c r="C136" s="87"/>
      <c r="D136" s="87"/>
      <c r="E136" s="87"/>
      <c r="F136" s="87"/>
      <c r="G136" s="88"/>
    </row>
    <row r="137" spans="2:7" ht="21" customHeight="1" x14ac:dyDescent="0.25">
      <c r="B137" s="382" t="s">
        <v>153</v>
      </c>
      <c r="C137" s="381"/>
      <c r="D137" s="381"/>
      <c r="E137" s="381"/>
      <c r="F137" s="381"/>
      <c r="G137" s="381"/>
    </row>
    <row r="138" spans="2:7" ht="15" customHeight="1" x14ac:dyDescent="0.25">
      <c r="B138" s="48" t="s">
        <v>154</v>
      </c>
      <c r="C138" s="207"/>
      <c r="D138" s="207"/>
      <c r="E138" s="207"/>
      <c r="F138" s="207"/>
      <c r="G138" s="232"/>
    </row>
    <row r="139" spans="2:7" ht="15" customHeight="1" x14ac:dyDescent="0.25">
      <c r="B139" s="48" t="s">
        <v>155</v>
      </c>
      <c r="C139" s="207"/>
      <c r="D139" s="207"/>
      <c r="E139" s="207"/>
      <c r="F139" s="207"/>
      <c r="G139" s="232"/>
    </row>
    <row r="140" spans="2:7" ht="15" customHeight="1" x14ac:dyDescent="0.25">
      <c r="B140" s="48" t="s">
        <v>156</v>
      </c>
      <c r="C140" s="207"/>
      <c r="D140" s="207"/>
      <c r="E140" s="207"/>
      <c r="F140" s="207"/>
      <c r="G140" s="232"/>
    </row>
    <row r="141" spans="2:7" ht="15" customHeight="1" x14ac:dyDescent="0.25">
      <c r="B141" s="48" t="s">
        <v>157</v>
      </c>
      <c r="C141" s="207"/>
      <c r="D141" s="207"/>
      <c r="E141" s="207"/>
      <c r="F141" s="207"/>
      <c r="G141" s="232"/>
    </row>
    <row r="142" spans="2:7" ht="15" customHeight="1" x14ac:dyDescent="0.25">
      <c r="B142" s="53" t="s">
        <v>158</v>
      </c>
      <c r="C142" s="211">
        <f>SUM(C138:C141)</f>
        <v>0</v>
      </c>
      <c r="D142" s="211">
        <f t="shared" ref="D142:G142" si="32">SUM(D138:D141)</f>
        <v>0</v>
      </c>
      <c r="E142" s="211">
        <f t="shared" si="32"/>
        <v>0</v>
      </c>
      <c r="F142" s="211">
        <f t="shared" si="32"/>
        <v>0</v>
      </c>
      <c r="G142" s="90">
        <f t="shared" si="32"/>
        <v>0</v>
      </c>
    </row>
    <row r="143" spans="2:7" ht="15" customHeight="1" x14ac:dyDescent="0.25">
      <c r="B143" s="59"/>
      <c r="C143" s="98"/>
      <c r="D143" s="98"/>
      <c r="E143" s="98"/>
      <c r="F143" s="98"/>
      <c r="G143" s="99"/>
    </row>
    <row r="144" spans="2:7" ht="15" customHeight="1" x14ac:dyDescent="0.25">
      <c r="B144" s="54" t="s">
        <v>159</v>
      </c>
      <c r="C144" s="92">
        <f>C130+C135+C142</f>
        <v>0</v>
      </c>
      <c r="D144" s="92">
        <f t="shared" ref="D144:G144" si="33">D130+D135+D142</f>
        <v>0</v>
      </c>
      <c r="E144" s="92">
        <f t="shared" si="33"/>
        <v>0</v>
      </c>
      <c r="F144" s="92">
        <f t="shared" si="33"/>
        <v>0</v>
      </c>
      <c r="G144" s="93">
        <f t="shared" si="33"/>
        <v>0</v>
      </c>
    </row>
    <row r="145" spans="2:7" ht="15" customHeight="1" x14ac:dyDescent="0.25">
      <c r="B145" s="59"/>
      <c r="C145" s="98"/>
      <c r="D145" s="98"/>
      <c r="E145" s="98"/>
      <c r="F145" s="98"/>
      <c r="G145" s="99"/>
    </row>
    <row r="146" spans="2:7" ht="15" customHeight="1" x14ac:dyDescent="0.25">
      <c r="B146" s="54" t="s">
        <v>160</v>
      </c>
      <c r="C146" s="234"/>
      <c r="D146" s="92">
        <f>C147</f>
        <v>0</v>
      </c>
      <c r="E146" s="92">
        <f t="shared" ref="E146:G146" si="34">D147</f>
        <v>0</v>
      </c>
      <c r="F146" s="92">
        <f t="shared" si="34"/>
        <v>0</v>
      </c>
      <c r="G146" s="93">
        <f t="shared" si="34"/>
        <v>0</v>
      </c>
    </row>
    <row r="147" spans="2:7" ht="15" customHeight="1" x14ac:dyDescent="0.25">
      <c r="B147" s="54" t="s">
        <v>161</v>
      </c>
      <c r="C147" s="92">
        <f>C144+C146</f>
        <v>0</v>
      </c>
      <c r="D147" s="92">
        <f>D144+D146</f>
        <v>0</v>
      </c>
      <c r="E147" s="92">
        <f t="shared" ref="E147:G147" si="35">E144+E146</f>
        <v>0</v>
      </c>
      <c r="F147" s="92">
        <f t="shared" si="35"/>
        <v>0</v>
      </c>
      <c r="G147" s="93">
        <f t="shared" si="35"/>
        <v>0</v>
      </c>
    </row>
    <row r="148" spans="2:7" ht="15" customHeight="1" x14ac:dyDescent="0.25">
      <c r="B148" s="60" t="s">
        <v>121</v>
      </c>
      <c r="C148" s="94">
        <f>C147-C33</f>
        <v>0</v>
      </c>
      <c r="D148" s="94">
        <f>D147-D33</f>
        <v>0</v>
      </c>
      <c r="E148" s="94">
        <f>E147-E33</f>
        <v>0</v>
      </c>
      <c r="F148" s="94">
        <f>F147-F33</f>
        <v>0</v>
      </c>
      <c r="G148" s="100">
        <f>G147-G33</f>
        <v>3430767</v>
      </c>
    </row>
    <row r="149" spans="2:7" ht="15" customHeight="1" x14ac:dyDescent="0.25"/>
    <row r="150" spans="2:7" ht="15" customHeight="1" x14ac:dyDescent="0.25"/>
    <row r="151" spans="2:7" ht="15" customHeight="1" x14ac:dyDescent="0.25"/>
    <row r="152" spans="2:7" ht="15" customHeight="1" x14ac:dyDescent="0.25"/>
    <row r="153" spans="2:7" ht="15" customHeight="1" x14ac:dyDescent="0.25"/>
    <row r="154" spans="2:7" ht="15" customHeight="1" x14ac:dyDescent="0.25"/>
    <row r="155" spans="2:7" ht="15" customHeight="1" x14ac:dyDescent="0.25"/>
    <row r="156" spans="2:7" ht="15" customHeight="1" x14ac:dyDescent="0.25"/>
    <row r="157" spans="2:7" ht="15" customHeight="1" x14ac:dyDescent="0.25"/>
    <row r="158" spans="2:7" ht="15" customHeight="1" x14ac:dyDescent="0.25"/>
    <row r="159" spans="2:7" ht="15" customHeight="1" x14ac:dyDescent="0.25"/>
    <row r="160" spans="2:7" ht="15" customHeight="1" x14ac:dyDescent="0.25"/>
    <row r="161" ht="15" customHeight="1" x14ac:dyDescent="0.25"/>
  </sheetData>
  <sheetProtection sort="0" autoFilter="0"/>
  <mergeCells count="11">
    <mergeCell ref="C5:E5"/>
    <mergeCell ref="B8:H8"/>
    <mergeCell ref="B10:H10"/>
    <mergeCell ref="B14:H14"/>
    <mergeCell ref="B37:H37"/>
    <mergeCell ref="B114:G114"/>
    <mergeCell ref="B118:G118"/>
    <mergeCell ref="B132:G132"/>
    <mergeCell ref="B137:G137"/>
    <mergeCell ref="B70:H70"/>
    <mergeCell ref="B93:H93"/>
  </mergeCells>
  <conditionalFormatting sqref="C66">
    <cfRule type="expression" dxfId="24" priority="10">
      <formula>C66&lt;&gt;0</formula>
    </cfRule>
  </conditionalFormatting>
  <conditionalFormatting sqref="D66:G66">
    <cfRule type="expression" dxfId="23" priority="7">
      <formula>D66&lt;&gt;0</formula>
    </cfRule>
  </conditionalFormatting>
  <conditionalFormatting sqref="C88:C90">
    <cfRule type="expression" dxfId="22" priority="6">
      <formula>C88&lt;&gt;0</formula>
    </cfRule>
  </conditionalFormatting>
  <conditionalFormatting sqref="D88:G90">
    <cfRule type="expression" dxfId="21" priority="5">
      <formula>D88&lt;&gt;0</formula>
    </cfRule>
  </conditionalFormatting>
  <conditionalFormatting sqref="C148">
    <cfRule type="expression" dxfId="20" priority="4">
      <formula>C148&lt;&gt;0</formula>
    </cfRule>
  </conditionalFormatting>
  <conditionalFormatting sqref="D148:G148">
    <cfRule type="expression" dxfId="19" priority="3">
      <formula>D148&lt;&gt;0</formula>
    </cfRule>
  </conditionalFormatting>
  <conditionalFormatting sqref="C119">
    <cfRule type="expression" dxfId="18" priority="2">
      <formula>C119&lt;&gt;C87</formula>
    </cfRule>
  </conditionalFormatting>
  <conditionalFormatting sqref="D119:G119">
    <cfRule type="expression" dxfId="17" priority="1">
      <formula>D119&lt;&gt;D87</formula>
    </cfRule>
  </conditionalFormatting>
  <hyperlinks>
    <hyperlink ref="B1" location="ÍNDICE!A1" display="BACK TO INDEX" xr:uid="{00000000-0004-0000-0900-000000000000}"/>
  </hyperlinks>
  <pageMargins left="0.7" right="0.7" top="0.75" bottom="0.75" header="0.3" footer="0.3"/>
  <pageSetup scale="53" orientation="portrait" r:id="rId1"/>
  <rowBreaks count="1" manualBreakCount="1">
    <brk id="68" max="12" man="1"/>
  </rowBreaks>
  <colBreaks count="1" manualBreakCount="1">
    <brk id="9" min="1" max="150"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FC85"/>
  <sheetViews>
    <sheetView showGridLines="0" zoomScaleNormal="100" workbookViewId="0">
      <pane ySplit="1" topLeftCell="A2" activePane="bottomLeft" state="frozen"/>
      <selection activeCell="B1" sqref="B1:C1"/>
      <selection pane="bottomLeft" activeCell="I1" sqref="I1:XFD1048576"/>
    </sheetView>
  </sheetViews>
  <sheetFormatPr defaultColWidth="5" defaultRowHeight="15" customHeight="1" zeroHeight="1" x14ac:dyDescent="0.25"/>
  <cols>
    <col min="1" max="1" width="1.140625" style="3" customWidth="1"/>
    <col min="2" max="2" width="10" style="4" customWidth="1"/>
    <col min="3" max="3" width="55.42578125" style="4" bestFit="1" customWidth="1"/>
    <col min="4" max="8" width="18.85546875" style="3" customWidth="1"/>
    <col min="9" max="9" width="12.140625" style="57" customWidth="1"/>
    <col min="10" max="10" width="1" style="3" customWidth="1"/>
    <col min="11" max="12" width="5" style="3" hidden="1" customWidth="1"/>
    <col min="13" max="15" width="9.140625" style="3" hidden="1" customWidth="1"/>
    <col min="16" max="16" width="22" style="3" hidden="1" customWidth="1"/>
    <col min="17" max="21" width="18.140625" style="3" hidden="1" customWidth="1"/>
    <col min="22" max="16383" width="5" style="3"/>
    <col min="16384" max="16384" width="32.140625" style="3" hidden="1" customWidth="1"/>
  </cols>
  <sheetData>
    <row r="1" spans="1:10" ht="21" customHeight="1" x14ac:dyDescent="0.2">
      <c r="A1" s="2"/>
      <c r="B1" s="445" t="s">
        <v>29</v>
      </c>
      <c r="C1" s="446"/>
      <c r="D1" s="2"/>
      <c r="E1" s="2"/>
      <c r="F1" s="2"/>
      <c r="G1" s="2"/>
      <c r="H1" s="2"/>
      <c r="I1" s="56"/>
      <c r="J1" s="56"/>
    </row>
    <row r="2" spans="1:10" ht="15" customHeight="1" x14ac:dyDescent="0.2"/>
    <row r="3" spans="1:10" ht="15" customHeight="1" x14ac:dyDescent="0.25">
      <c r="E3" s="12" t="s">
        <v>37</v>
      </c>
      <c r="F3" s="186">
        <f>IF(COVER!E6&lt;&gt;"",COVER!E6,"")</f>
        <v>2021</v>
      </c>
    </row>
    <row r="4" spans="1:10" ht="15" customHeight="1" x14ac:dyDescent="0.2"/>
    <row r="5" spans="1:10" ht="20.25" customHeight="1" x14ac:dyDescent="0.2">
      <c r="B5" s="447" t="s">
        <v>4</v>
      </c>
      <c r="C5" s="448"/>
      <c r="D5" s="451" t="str">
        <f>IF(COVER!E8&lt;&gt;"",COVER!E8,"")</f>
        <v>POWER BLOX AFRICA, S.A.</v>
      </c>
      <c r="E5" s="374"/>
      <c r="F5" s="375"/>
    </row>
    <row r="6" spans="1:10" ht="15" customHeight="1" x14ac:dyDescent="0.2"/>
    <row r="7" spans="1:10" ht="15" customHeight="1" x14ac:dyDescent="0.2"/>
    <row r="8" spans="1:10" s="6" customFormat="1" ht="30.75" customHeight="1" x14ac:dyDescent="0.25">
      <c r="B8" s="376" t="s">
        <v>436</v>
      </c>
      <c r="C8" s="376"/>
      <c r="D8" s="377"/>
      <c r="E8" s="377"/>
      <c r="F8" s="377"/>
      <c r="G8" s="377"/>
      <c r="H8" s="377"/>
      <c r="I8" s="377"/>
    </row>
    <row r="9" spans="1:10" ht="15" customHeight="1" x14ac:dyDescent="0.25"/>
    <row r="10" spans="1:10" s="31" customFormat="1" ht="31.5" customHeight="1" x14ac:dyDescent="0.25">
      <c r="A10" s="3"/>
      <c r="B10" s="4"/>
      <c r="C10" s="4"/>
      <c r="D10" s="3"/>
      <c r="E10" s="3"/>
      <c r="F10" s="3"/>
      <c r="G10" s="3"/>
      <c r="H10" s="3"/>
      <c r="I10" s="57"/>
    </row>
    <row r="11" spans="1:10" ht="15" customHeight="1" x14ac:dyDescent="0.25">
      <c r="B11" s="71"/>
    </row>
    <row r="12" spans="1:10" ht="21" customHeight="1" x14ac:dyDescent="0.25"/>
    <row r="13" spans="1:10" ht="15" customHeight="1" x14ac:dyDescent="0.25"/>
    <row r="14" spans="1:10" ht="15" customHeight="1" x14ac:dyDescent="0.25"/>
    <row r="15" spans="1:10" ht="15" customHeight="1" x14ac:dyDescent="0.25"/>
    <row r="16" spans="1:10" ht="15" customHeight="1" x14ac:dyDescent="0.25"/>
    <row r="17" spans="1:15" s="57" customFormat="1" ht="15" customHeight="1" x14ac:dyDescent="0.25">
      <c r="A17" s="3"/>
      <c r="B17" s="4"/>
      <c r="C17" s="4"/>
      <c r="D17" s="3"/>
      <c r="E17" s="3"/>
      <c r="F17" s="3"/>
      <c r="G17" s="3"/>
      <c r="H17" s="3"/>
      <c r="J17" s="3"/>
      <c r="K17" s="3"/>
      <c r="L17" s="3"/>
      <c r="M17" s="3"/>
      <c r="N17" s="3"/>
      <c r="O17" s="3"/>
    </row>
    <row r="18" spans="1:15" s="57" customFormat="1" ht="15" customHeight="1" x14ac:dyDescent="0.25">
      <c r="A18" s="3"/>
      <c r="B18" s="4"/>
      <c r="C18" s="4"/>
      <c r="D18" s="3"/>
      <c r="E18" s="3"/>
      <c r="F18" s="3"/>
      <c r="G18" s="3"/>
      <c r="H18" s="3"/>
      <c r="I18" s="3"/>
      <c r="J18" s="4"/>
      <c r="K18" s="4"/>
      <c r="L18" s="3"/>
      <c r="M18" s="3"/>
      <c r="N18" s="3"/>
      <c r="O18" s="3"/>
    </row>
    <row r="19" spans="1:15" s="57" customFormat="1" ht="15" customHeight="1" x14ac:dyDescent="0.25">
      <c r="A19" s="3"/>
      <c r="B19" s="4"/>
      <c r="C19" s="4"/>
      <c r="D19" s="3"/>
      <c r="E19" s="3"/>
      <c r="F19" s="3"/>
      <c r="G19" s="3"/>
      <c r="H19" s="3"/>
      <c r="I19" s="3"/>
      <c r="J19" s="4"/>
      <c r="K19" s="4"/>
      <c r="L19" s="3"/>
      <c r="M19" s="3"/>
      <c r="N19" s="3"/>
      <c r="O19" s="3"/>
    </row>
    <row r="20" spans="1:15" s="57" customFormat="1" ht="15" customHeight="1" x14ac:dyDescent="0.25">
      <c r="A20" s="3"/>
      <c r="B20" s="4"/>
      <c r="C20" s="4"/>
      <c r="D20" s="3"/>
      <c r="E20" s="3"/>
      <c r="F20" s="3"/>
      <c r="G20" s="3"/>
      <c r="H20" s="3"/>
      <c r="J20" s="3"/>
      <c r="K20" s="3"/>
      <c r="L20" s="3"/>
      <c r="M20" s="3"/>
      <c r="N20" s="3"/>
      <c r="O20" s="3"/>
    </row>
    <row r="21" spans="1:15" ht="15" customHeight="1" x14ac:dyDescent="0.25"/>
    <row r="22" spans="1:15" ht="15" customHeight="1" x14ac:dyDescent="0.25"/>
    <row r="23" spans="1:15" ht="15" customHeight="1" x14ac:dyDescent="0.25"/>
    <row r="24" spans="1:15" ht="15" customHeight="1" x14ac:dyDescent="0.25"/>
    <row r="25" spans="1:15" ht="15" customHeight="1" x14ac:dyDescent="0.25"/>
    <row r="26" spans="1:15" ht="15" customHeight="1" x14ac:dyDescent="0.25"/>
    <row r="27" spans="1:15" ht="15" customHeight="1" x14ac:dyDescent="0.25"/>
    <row r="28" spans="1:15" ht="15" customHeight="1" x14ac:dyDescent="0.25"/>
    <row r="29" spans="1:15" ht="15" customHeight="1" x14ac:dyDescent="0.25"/>
    <row r="30" spans="1:15" ht="15" customHeight="1" x14ac:dyDescent="0.25"/>
    <row r="31" spans="1:15" ht="15" customHeight="1" x14ac:dyDescent="0.25"/>
    <row r="32" spans="1: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ort="0" autoFilter="0"/>
  <mergeCells count="4">
    <mergeCell ref="B5:C5"/>
    <mergeCell ref="B1:C1"/>
    <mergeCell ref="D5:F5"/>
    <mergeCell ref="B8:I8"/>
  </mergeCells>
  <hyperlinks>
    <hyperlink ref="B1" location="COVER!A1" display="BACK TO INDEX" xr:uid="{00000000-0004-0000-0A00-000000000000}"/>
    <hyperlink ref="B1:C1" location="ÍNDICE!A1" display="BACK TO INDEX" xr:uid="{00000000-0004-0000-0A00-000001000000}"/>
  </hyperlinks>
  <pageMargins left="0.7" right="0.7" top="0.75" bottom="0.75" header="0.3" footer="0.3"/>
  <pageSetup scale="51"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44"/>
  <sheetViews>
    <sheetView showGridLines="0" zoomScaleNormal="100" workbookViewId="0">
      <pane ySplit="1" topLeftCell="A2" activePane="bottomLeft" state="frozen"/>
      <selection activeCell="B1" sqref="B1:C1"/>
      <selection pane="bottomLeft" activeCell="I43" sqref="I43"/>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8" width="18.85546875" style="3" customWidth="1"/>
    <col min="9" max="9" width="12.140625" style="57" customWidth="1"/>
    <col min="10" max="10" width="1" style="3" customWidth="1"/>
    <col min="11" max="12" width="5" style="3" hidden="1" customWidth="1"/>
    <col min="13" max="15" width="9.140625" style="3" hidden="1" customWidth="1"/>
    <col min="16" max="16" width="22" style="3" hidden="1" customWidth="1"/>
    <col min="17" max="21" width="18.140625" style="3" hidden="1" customWidth="1"/>
    <col min="22" max="16384" width="5" style="3" hidden="1"/>
  </cols>
  <sheetData>
    <row r="1" spans="1:16" ht="21" customHeight="1" x14ac:dyDescent="0.2">
      <c r="A1" s="2"/>
      <c r="B1" s="445" t="s">
        <v>29</v>
      </c>
      <c r="C1" s="446"/>
      <c r="D1" s="2"/>
      <c r="E1" s="2"/>
      <c r="F1" s="2"/>
      <c r="G1" s="2"/>
      <c r="H1" s="2"/>
      <c r="I1" s="56"/>
      <c r="J1" s="56"/>
    </row>
    <row r="2" spans="1:16" ht="15" customHeight="1" x14ac:dyDescent="0.2"/>
    <row r="3" spans="1:16" ht="15" customHeight="1" x14ac:dyDescent="0.25">
      <c r="E3" s="12" t="s">
        <v>37</v>
      </c>
      <c r="F3" s="186">
        <f>IF(COVER!E6&lt;&gt;"",COVER!E6,"")</f>
        <v>2021</v>
      </c>
    </row>
    <row r="4" spans="1:16" ht="15" customHeight="1" x14ac:dyDescent="0.2"/>
    <row r="5" spans="1:16" ht="20.25" customHeight="1" x14ac:dyDescent="0.2">
      <c r="B5" s="447" t="s">
        <v>4</v>
      </c>
      <c r="C5" s="448"/>
      <c r="D5" s="451" t="str">
        <f>IF(COVER!E8&lt;&gt;"",COVER!E8,"")</f>
        <v>POWER BLOX AFRICA, S.A.</v>
      </c>
      <c r="E5" s="374"/>
      <c r="F5" s="375"/>
    </row>
    <row r="6" spans="1:16" ht="15" customHeight="1" x14ac:dyDescent="0.2"/>
    <row r="7" spans="1:16" ht="15" customHeight="1" x14ac:dyDescent="0.2"/>
    <row r="8" spans="1:16" s="6" customFormat="1" ht="30.75" customHeight="1" x14ac:dyDescent="0.25">
      <c r="B8" s="376" t="s">
        <v>459</v>
      </c>
      <c r="C8" s="376"/>
      <c r="D8" s="377"/>
      <c r="E8" s="377"/>
      <c r="F8" s="377"/>
      <c r="G8" s="377"/>
      <c r="H8" s="377"/>
      <c r="I8" s="377"/>
    </row>
    <row r="9" spans="1:16" ht="15" customHeight="1" x14ac:dyDescent="0.25"/>
    <row r="10" spans="1:16" s="31" customFormat="1" ht="31.5" customHeight="1" x14ac:dyDescent="0.25">
      <c r="A10" s="3"/>
      <c r="B10" s="4"/>
      <c r="C10" s="4"/>
      <c r="D10" s="3"/>
      <c r="E10" s="3"/>
      <c r="F10" s="3"/>
      <c r="G10" s="3"/>
      <c r="H10" s="3"/>
      <c r="I10" s="57"/>
    </row>
    <row r="11" spans="1:16" ht="15" customHeight="1" x14ac:dyDescent="0.25">
      <c r="B11" s="71"/>
    </row>
    <row r="12" spans="1:16" ht="21" customHeight="1" x14ac:dyDescent="0.25">
      <c r="P12" s="3" t="s">
        <v>124</v>
      </c>
    </row>
    <row r="13" spans="1:16" ht="15" customHeight="1" x14ac:dyDescent="0.25">
      <c r="P13" s="3" t="s">
        <v>126</v>
      </c>
    </row>
    <row r="14" spans="1:16" ht="15" customHeight="1" x14ac:dyDescent="0.25"/>
    <row r="15" spans="1:16" ht="15" customHeight="1" x14ac:dyDescent="0.25"/>
    <row r="16" spans="1:16" ht="15" customHeight="1" x14ac:dyDescent="0.25"/>
    <row r="17" spans="1:15" s="57" customFormat="1" ht="15" customHeight="1" x14ac:dyDescent="0.25">
      <c r="A17" s="3"/>
      <c r="B17" s="4"/>
      <c r="C17" s="4"/>
      <c r="D17" s="3"/>
      <c r="E17" s="3"/>
      <c r="F17" s="3"/>
      <c r="G17" s="3"/>
      <c r="H17" s="3"/>
      <c r="J17" s="3"/>
      <c r="K17" s="3"/>
      <c r="L17" s="3"/>
      <c r="M17" s="3"/>
      <c r="N17" s="3"/>
      <c r="O17" s="3"/>
    </row>
    <row r="18" spans="1:15" s="57" customFormat="1" ht="15" customHeight="1" x14ac:dyDescent="0.25">
      <c r="A18" s="3"/>
      <c r="B18" s="4"/>
      <c r="C18" s="4"/>
      <c r="D18" s="3"/>
      <c r="E18" s="3"/>
      <c r="F18" s="3"/>
      <c r="G18" s="3"/>
      <c r="H18" s="3"/>
      <c r="I18" s="3"/>
      <c r="J18" s="4"/>
      <c r="K18" s="4"/>
      <c r="L18" s="3"/>
      <c r="M18" s="3"/>
      <c r="N18" s="3"/>
      <c r="O18" s="3"/>
    </row>
    <row r="19" spans="1:15" s="57" customFormat="1" ht="15" customHeight="1" x14ac:dyDescent="0.25">
      <c r="A19" s="3"/>
      <c r="B19" s="4"/>
      <c r="C19" s="4"/>
      <c r="D19" s="3"/>
      <c r="E19" s="3"/>
      <c r="F19" s="3"/>
      <c r="G19" s="3"/>
      <c r="H19" s="3"/>
      <c r="I19" s="3"/>
      <c r="J19" s="4"/>
      <c r="K19" s="4"/>
      <c r="L19" s="3"/>
      <c r="M19" s="3"/>
      <c r="N19" s="3"/>
      <c r="O19" s="3"/>
    </row>
    <row r="20" spans="1:15" s="57" customFormat="1" ht="15" customHeight="1" x14ac:dyDescent="0.25">
      <c r="A20" s="3"/>
      <c r="B20" s="4"/>
      <c r="C20" s="4"/>
      <c r="D20" s="3"/>
      <c r="E20" s="3"/>
      <c r="F20" s="3"/>
      <c r="G20" s="3"/>
      <c r="H20" s="3"/>
      <c r="J20" s="3"/>
      <c r="K20" s="3"/>
      <c r="L20" s="3"/>
      <c r="M20" s="3"/>
      <c r="N20" s="3"/>
      <c r="O20" s="3"/>
    </row>
    <row r="21" spans="1:15" ht="15" customHeight="1" x14ac:dyDescent="0.25"/>
    <row r="22" spans="1:15" ht="15" customHeight="1" x14ac:dyDescent="0.25"/>
    <row r="23" spans="1:15" ht="15" customHeight="1" x14ac:dyDescent="0.25"/>
    <row r="24" spans="1:15" ht="15" customHeight="1" x14ac:dyDescent="0.25"/>
    <row r="25" spans="1:15" ht="15" customHeight="1" x14ac:dyDescent="0.25"/>
    <row r="26" spans="1:15" ht="15" customHeight="1" x14ac:dyDescent="0.25"/>
    <row r="27" spans="1:15" ht="15" customHeight="1" x14ac:dyDescent="0.25"/>
    <row r="28" spans="1:15" ht="15" customHeight="1" x14ac:dyDescent="0.25"/>
    <row r="29" spans="1:15" ht="15" customHeight="1" x14ac:dyDescent="0.25"/>
    <row r="30" spans="1:15" ht="15" customHeight="1" x14ac:dyDescent="0.25"/>
    <row r="31" spans="1:15" ht="15" customHeight="1" x14ac:dyDescent="0.25"/>
    <row r="32" spans="1: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sheetData>
  <sheetProtection sort="0" autoFilter="0"/>
  <mergeCells count="4">
    <mergeCell ref="D5:F5"/>
    <mergeCell ref="B8:I8"/>
    <mergeCell ref="B1:C1"/>
    <mergeCell ref="B5:C5"/>
  </mergeCells>
  <hyperlinks>
    <hyperlink ref="B1" location="COVER!A1" display="BACK TO INDEX" xr:uid="{00000000-0004-0000-0B00-000000000000}"/>
    <hyperlink ref="B1:C1" location="ÍNDICE!A1" display="BACK TO INDEX" xr:uid="{00000000-0004-0000-0B00-000001000000}"/>
  </hyperlinks>
  <pageMargins left="0.7" right="0.7" top="0.75" bottom="0.75" header="0.3" footer="0.3"/>
  <pageSetup scale="51"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9" tint="-0.249977111117893"/>
  </sheetPr>
  <dimension ref="A1:J70"/>
  <sheetViews>
    <sheetView showGridLines="0" zoomScaleNormal="100" workbookViewId="0">
      <pane ySplit="1" topLeftCell="A5" activePane="bottomLeft" state="frozen"/>
      <selection activeCell="B1" sqref="B1:C1"/>
      <selection pane="bottomLeft" activeCell="F26" sqref="F26"/>
    </sheetView>
  </sheetViews>
  <sheetFormatPr defaultColWidth="0" defaultRowHeight="15" customHeight="1" zeroHeight="1" x14ac:dyDescent="0.25"/>
  <cols>
    <col min="1" max="1" width="1.140625" style="3" customWidth="1"/>
    <col min="2" max="2" width="10" style="4" hidden="1" customWidth="1"/>
    <col min="3" max="3" width="55.42578125" style="4" bestFit="1" customWidth="1"/>
    <col min="4" max="8" width="18.85546875" style="3" customWidth="1"/>
    <col min="9" max="9" width="12.140625" style="57" customWidth="1"/>
    <col min="10" max="10" width="1" style="3" customWidth="1"/>
    <col min="11" max="16384" width="4.42578125" style="3" hidden="1"/>
  </cols>
  <sheetData>
    <row r="1" spans="1:10" ht="21" customHeight="1" x14ac:dyDescent="0.2">
      <c r="A1" s="2"/>
      <c r="C1" s="167" t="s">
        <v>29</v>
      </c>
      <c r="D1" s="2"/>
      <c r="E1" s="2"/>
      <c r="F1" s="2"/>
      <c r="G1" s="2"/>
      <c r="H1" s="2"/>
      <c r="I1" s="56"/>
      <c r="J1" s="56"/>
    </row>
    <row r="2" spans="1:10" ht="15" customHeight="1" x14ac:dyDescent="0.2"/>
    <row r="3" spans="1:10" ht="15" customHeight="1" x14ac:dyDescent="0.25">
      <c r="E3" s="12" t="s">
        <v>37</v>
      </c>
      <c r="F3" s="186">
        <f>IF(COVER!E6&lt;&gt;"",COVER!E6,"")</f>
        <v>2021</v>
      </c>
    </row>
    <row r="4" spans="1:10" ht="15" customHeight="1" x14ac:dyDescent="0.2"/>
    <row r="5" spans="1:10" ht="20.25" customHeight="1" x14ac:dyDescent="0.2">
      <c r="C5" s="5" t="s">
        <v>4</v>
      </c>
      <c r="D5" s="373" t="str">
        <f>IF(COVER!E8&lt;&gt;"",COVER!E8,"")</f>
        <v>POWER BLOX AFRICA, S.A.</v>
      </c>
      <c r="E5" s="374"/>
      <c r="F5" s="375"/>
    </row>
    <row r="6" spans="1:10" ht="15" customHeight="1" x14ac:dyDescent="0.2"/>
    <row r="7" spans="1:10" ht="15" customHeight="1" x14ac:dyDescent="0.2"/>
    <row r="8" spans="1:10" s="6" customFormat="1" ht="30.75" customHeight="1" x14ac:dyDescent="0.25">
      <c r="C8" s="376" t="s">
        <v>438</v>
      </c>
      <c r="D8" s="377"/>
      <c r="E8" s="377"/>
      <c r="F8" s="377"/>
      <c r="G8" s="377"/>
      <c r="H8" s="377"/>
      <c r="I8" s="377"/>
    </row>
    <row r="9" spans="1:10" ht="15" customHeight="1" x14ac:dyDescent="0.25">
      <c r="H9" s="122" t="s">
        <v>432</v>
      </c>
      <c r="I9" s="121" t="str">
        <f>IF(COVER!$K$6&lt;&gt;"",CONCATENATE("milhares ",COVER!$K$6),"")</f>
        <v>milhares MZN</v>
      </c>
    </row>
    <row r="10" spans="1:10" s="31" customFormat="1" ht="31.5" customHeight="1" x14ac:dyDescent="0.25">
      <c r="B10" s="67"/>
      <c r="C10" s="102"/>
      <c r="D10" s="68">
        <f>IF(E10&lt;&gt;"",E10-1,"")</f>
        <v>2017</v>
      </c>
      <c r="E10" s="68">
        <f>IF(F10&lt;&gt;"",F10-1,"")</f>
        <v>2018</v>
      </c>
      <c r="F10" s="68">
        <f>IF(G10&lt;&gt;"",G10-1,"")</f>
        <v>2019</v>
      </c>
      <c r="G10" s="68">
        <f>IF(H10&lt;&gt;"",H10-1,"")</f>
        <v>2020</v>
      </c>
      <c r="H10" s="69">
        <f>$F$3</f>
        <v>2021</v>
      </c>
      <c r="I10" s="70" t="str">
        <f>IF(AND(G10&lt;&gt;"",H10&lt;&gt;""),"PESO","")</f>
        <v>PESO</v>
      </c>
    </row>
    <row r="11" spans="1:10" ht="15" customHeight="1" x14ac:dyDescent="0.25">
      <c r="B11" s="71"/>
    </row>
    <row r="12" spans="1:10" ht="15" customHeight="1" x14ac:dyDescent="0.25">
      <c r="B12" s="77" t="s">
        <v>439</v>
      </c>
      <c r="C12" s="48" t="str">
        <f>IFERROR(IF(INDEX('DETALHE GANHOS E GASTOS'!$C$31:$C$66,MATCH($B12,'DETALHE GANHOS E GASTOS'!$Z$31:$Z$66,0))=0,"",INDEX('DETALHE GANHOS E GASTOS'!$C$31:$C$66,MATCH($B12,'DETALHE GANHOS E GASTOS'!$Z$31:$Z$66,0))),"")</f>
        <v>Trabalhos especializados</v>
      </c>
      <c r="D12" s="224">
        <f>IFERROR(IF($C12="","",INDEX('DETALHE GANHOS E GASTOS'!$C$31:$H$66,MATCH($C12,'DETALHE GANHOS E GASTOS'!$C$31:$C$66,0),2)),"")</f>
        <v>0</v>
      </c>
      <c r="E12" s="224">
        <f>IFERROR(IF($C12="","",INDEX('DETALHE GANHOS E GASTOS'!$C$31:$H$66,MATCH($C12,'DETALHE GANHOS E GASTOS'!$C$31:$C$66,0),3)),"")</f>
        <v>0</v>
      </c>
      <c r="F12" s="224">
        <f>IFERROR(IF($C12="","",INDEX('DETALHE GANHOS E GASTOS'!$C$31:$H$66,MATCH($C12,'DETALHE GANHOS E GASTOS'!$C$31:$C$66,0),4)),"")</f>
        <v>0</v>
      </c>
      <c r="G12" s="224">
        <f>IFERROR(IF($C12="","",INDEX('DETALHE GANHOS E GASTOS'!$C$31:$H$66,MATCH($C12,'DETALHE GANHOS E GASTOS'!$C$31:$C$66,0),5)),"")</f>
        <v>0</v>
      </c>
      <c r="H12" s="115">
        <f>IFERROR(IF($C12="","",INDEX('DETALHE GANHOS E GASTOS'!$C$31:$H$66,MATCH($C12,'DETALHE GANHOS E GASTOS'!$C$31:$C$66,0),6)),"")</f>
        <v>562838</v>
      </c>
      <c r="I12" s="214">
        <f>IFERROR(IF(C12&lt;&gt;"",H12/$H$28,""),"")</f>
        <v>0.31648213839852901</v>
      </c>
    </row>
    <row r="13" spans="1:10" ht="15" customHeight="1" x14ac:dyDescent="0.25">
      <c r="B13" s="77" t="s">
        <v>440</v>
      </c>
      <c r="C13" s="48" t="str">
        <f>IFERROR(IF(INDEX('DETALHE GANHOS E GASTOS'!$C$31:$C$66,MATCH($B13,'DETALHE GANHOS E GASTOS'!$Z$31:$Z$66,0))=0,"",INDEX('DETALHE GANHOS E GASTOS'!$C$31:$C$66,MATCH($B13,'DETALHE GANHOS E GASTOS'!$Z$31:$Z$66,0))),"")</f>
        <v>Rendas e alugueres</v>
      </c>
      <c r="D13" s="224">
        <f>IFERROR(IF($C13="","",INDEX('DETALHE GANHOS E GASTOS'!$C$31:$H$66,MATCH($C13,'DETALHE GANHOS E GASTOS'!$C$31:$C$66,0),2)),"")</f>
        <v>0</v>
      </c>
      <c r="E13" s="224">
        <f>IFERROR(IF($C13="","",INDEX('DETALHE GANHOS E GASTOS'!$C$31:$H$66,MATCH($C13,'DETALHE GANHOS E GASTOS'!$C$31:$C$66,0),3)),"")</f>
        <v>0</v>
      </c>
      <c r="F13" s="224">
        <f>IFERROR(IF($C13="","",INDEX('DETALHE GANHOS E GASTOS'!$C$31:$H$66,MATCH($C13,'DETALHE GANHOS E GASTOS'!$C$31:$C$66,0),4)),"")</f>
        <v>0</v>
      </c>
      <c r="G13" s="224">
        <f>IFERROR(IF($C13="","",INDEX('DETALHE GANHOS E GASTOS'!$C$31:$H$66,MATCH($C13,'DETALHE GANHOS E GASTOS'!$C$31:$C$66,0),5)),"")</f>
        <v>0</v>
      </c>
      <c r="H13" s="115">
        <f>IFERROR(IF($C13="","",INDEX('DETALHE GANHOS E GASTOS'!$C$31:$H$66,MATCH($C13,'DETALHE GANHOS E GASTOS'!$C$31:$C$66,0),6)),"")</f>
        <v>353463.77</v>
      </c>
      <c r="I13" s="214">
        <f t="shared" ref="I13:I27" si="0">IFERROR(IF(C13&lt;&gt;"",H13/$H$28,""),"")</f>
        <v>0.19875162973361044</v>
      </c>
    </row>
    <row r="14" spans="1:10" ht="15" customHeight="1" x14ac:dyDescent="0.25">
      <c r="B14" s="77" t="s">
        <v>441</v>
      </c>
      <c r="C14" s="48" t="str">
        <f>IFERROR(IF(INDEX('DETALHE GANHOS E GASTOS'!$C$31:$C$66,MATCH($B14,'DETALHE GANHOS E GASTOS'!$Z$31:$Z$66,0))=0,"",INDEX('DETALHE GANHOS E GASTOS'!$C$31:$C$66,MATCH($B14,'DETALHE GANHOS E GASTOS'!$Z$31:$Z$66,0))),"")</f>
        <v>Despesas de representação</v>
      </c>
      <c r="D14" s="224">
        <f>IFERROR(IF($C14="","",INDEX('DETALHE GANHOS E GASTOS'!$C$31:$H$66,MATCH($C14,'DETALHE GANHOS E GASTOS'!$C$31:$C$66,0),2)),"")</f>
        <v>0</v>
      </c>
      <c r="E14" s="224">
        <f>IFERROR(IF($C14="","",INDEX('DETALHE GANHOS E GASTOS'!$C$31:$H$66,MATCH($C14,'DETALHE GANHOS E GASTOS'!$C$31:$C$66,0),3)),"")</f>
        <v>0</v>
      </c>
      <c r="F14" s="224">
        <f>IFERROR(IF($C14="","",INDEX('DETALHE GANHOS E GASTOS'!$C$31:$H$66,MATCH($C14,'DETALHE GANHOS E GASTOS'!$C$31:$C$66,0),4)),"")</f>
        <v>0</v>
      </c>
      <c r="G14" s="224">
        <f>IFERROR(IF($C14="","",INDEX('DETALHE GANHOS E GASTOS'!$C$31:$H$66,MATCH($C14,'DETALHE GANHOS E GASTOS'!$C$31:$C$66,0),5)),"")</f>
        <v>0</v>
      </c>
      <c r="H14" s="115">
        <f>IFERROR(IF($C14="","",INDEX('DETALHE GANHOS E GASTOS'!$C$31:$H$66,MATCH($C14,'DETALHE GANHOS E GASTOS'!$C$31:$C$66,0),6)),"")</f>
        <v>318400.21999999997</v>
      </c>
      <c r="I14" s="214">
        <f t="shared" si="0"/>
        <v>0.17903549954367345</v>
      </c>
    </row>
    <row r="15" spans="1:10" ht="15" customHeight="1" x14ac:dyDescent="0.25">
      <c r="B15" s="77" t="s">
        <v>442</v>
      </c>
      <c r="C15" s="48" t="str">
        <f>IFERROR(IF(INDEX('DETALHE GANHOS E GASTOS'!$C$31:$C$66,MATCH($B15,'DETALHE GANHOS E GASTOS'!$Z$31:$Z$66,0))=0,"",INDEX('DETALHE GANHOS E GASTOS'!$C$31:$C$66,MATCH($B15,'DETALHE GANHOS E GASTOS'!$Z$31:$Z$66,0))),"")</f>
        <v>Manutenção e reparação</v>
      </c>
      <c r="D15" s="224">
        <f>IFERROR(IF($C15="","",INDEX('DETALHE GANHOS E GASTOS'!$C$31:$H$66,MATCH($C15,'DETALHE GANHOS E GASTOS'!$C$31:$C$66,0),2)),"")</f>
        <v>0</v>
      </c>
      <c r="E15" s="224">
        <f>IFERROR(IF($C15="","",INDEX('DETALHE GANHOS E GASTOS'!$C$31:$H$66,MATCH($C15,'DETALHE GANHOS E GASTOS'!$C$31:$C$66,0),3)),"")</f>
        <v>0</v>
      </c>
      <c r="F15" s="224">
        <f>IFERROR(IF($C15="","",INDEX('DETALHE GANHOS E GASTOS'!$C$31:$H$66,MATCH($C15,'DETALHE GANHOS E GASTOS'!$C$31:$C$66,0),4)),"")</f>
        <v>0</v>
      </c>
      <c r="G15" s="224">
        <f>IFERROR(IF($C15="","",INDEX('DETALHE GANHOS E GASTOS'!$C$31:$H$66,MATCH($C15,'DETALHE GANHOS E GASTOS'!$C$31:$C$66,0),5)),"")</f>
        <v>0</v>
      </c>
      <c r="H15" s="115">
        <f>IFERROR(IF($C15="","",INDEX('DETALHE GANHOS E GASTOS'!$C$31:$H$66,MATCH($C15,'DETALHE GANHOS E GASTOS'!$C$31:$C$66,0),6)),"")</f>
        <v>131900</v>
      </c>
      <c r="I15" s="214">
        <f t="shared" si="0"/>
        <v>7.4166978872723555E-2</v>
      </c>
    </row>
    <row r="16" spans="1:10" ht="15" customHeight="1" x14ac:dyDescent="0.25">
      <c r="B16" s="77" t="s">
        <v>443</v>
      </c>
      <c r="C16" s="48" t="str">
        <f>IFERROR(IF(INDEX('DETALHE GANHOS E GASTOS'!$C$31:$C$66,MATCH($B16,'DETALHE GANHOS E GASTOS'!$Z$31:$Z$66,0))=0,"",INDEX('DETALHE GANHOS E GASTOS'!$C$31:$C$66,MATCH($B16,'DETALHE GANHOS E GASTOS'!$Z$31:$Z$66,0))),"")</f>
        <v xml:space="preserve">Combustíveis </v>
      </c>
      <c r="D16" s="224">
        <f>IFERROR(IF($C16="","",INDEX('DETALHE GANHOS E GASTOS'!$C$31:$H$66,MATCH($C16,'DETALHE GANHOS E GASTOS'!$C$31:$C$66,0),2)),"")</f>
        <v>0</v>
      </c>
      <c r="E16" s="224">
        <f>IFERROR(IF($C16="","",INDEX('DETALHE GANHOS E GASTOS'!$C$31:$H$66,MATCH($C16,'DETALHE GANHOS E GASTOS'!$C$31:$C$66,0),3)),"")</f>
        <v>0</v>
      </c>
      <c r="F16" s="224">
        <f>IFERROR(IF($C16="","",INDEX('DETALHE GANHOS E GASTOS'!$C$31:$H$66,MATCH($C16,'DETALHE GANHOS E GASTOS'!$C$31:$C$66,0),4)),"")</f>
        <v>0</v>
      </c>
      <c r="G16" s="224">
        <f>IFERROR(IF($C16="","",INDEX('DETALHE GANHOS E GASTOS'!$C$31:$H$66,MATCH($C16,'DETALHE GANHOS E GASTOS'!$C$31:$C$66,0),5)),"")</f>
        <v>0</v>
      </c>
      <c r="H16" s="115">
        <f>IFERROR(IF($C16="","",INDEX('DETALHE GANHOS E GASTOS'!$C$31:$H$66,MATCH($C16,'DETALHE GANHOS E GASTOS'!$C$31:$C$66,0),6)),"")</f>
        <v>119613.19</v>
      </c>
      <c r="I16" s="214">
        <f t="shared" si="0"/>
        <v>6.7258142044193087E-2</v>
      </c>
    </row>
    <row r="17" spans="2:9" ht="15" customHeight="1" x14ac:dyDescent="0.25">
      <c r="B17" s="77" t="s">
        <v>444</v>
      </c>
      <c r="C17" s="48" t="str">
        <f>IFERROR(IF(INDEX('DETALHE GANHOS E GASTOS'!$C$31:$C$66,MATCH($B17,'DETALHE GANHOS E GASTOS'!$Z$31:$Z$66,0))=0,"",INDEX('DETALHE GANHOS E GASTOS'!$C$31:$C$66,MATCH($B17,'DETALHE GANHOS E GASTOS'!$Z$31:$Z$66,0))),"")</f>
        <v>Outros fornecimentos e serviços</v>
      </c>
      <c r="D17" s="224">
        <f>IFERROR(IF($C17="","",INDEX('DETALHE GANHOS E GASTOS'!$C$31:$H$66,MATCH($C17,'DETALHE GANHOS E GASTOS'!$C$31:$C$66,0),2)),"")</f>
        <v>0</v>
      </c>
      <c r="E17" s="224">
        <f>IFERROR(IF($C17="","",INDEX('DETALHE GANHOS E GASTOS'!$C$31:$H$66,MATCH($C17,'DETALHE GANHOS E GASTOS'!$C$31:$C$66,0),3)),"")</f>
        <v>0</v>
      </c>
      <c r="F17" s="224">
        <f>IFERROR(IF($C17="","",INDEX('DETALHE GANHOS E GASTOS'!$C$31:$H$66,MATCH($C17,'DETALHE GANHOS E GASTOS'!$C$31:$C$66,0),4)),"")</f>
        <v>0</v>
      </c>
      <c r="G17" s="224">
        <f>IFERROR(IF($C17="","",INDEX('DETALHE GANHOS E GASTOS'!$C$31:$H$66,MATCH($C17,'DETALHE GANHOS E GASTOS'!$C$31:$C$66,0),5)),"")</f>
        <v>0</v>
      </c>
      <c r="H17" s="115">
        <f>IFERROR(IF($C17="","",INDEX('DETALHE GANHOS E GASTOS'!$C$31:$H$66,MATCH($C17,'DETALHE GANHOS E GASTOS'!$C$31:$C$66,0),6)),"")</f>
        <v>116258.5</v>
      </c>
      <c r="I17" s="214">
        <f t="shared" si="0"/>
        <v>6.5371809804962322E-2</v>
      </c>
    </row>
    <row r="18" spans="2:9" ht="15" customHeight="1" x14ac:dyDescent="0.25">
      <c r="B18" s="77" t="s">
        <v>445</v>
      </c>
      <c r="C18" s="48" t="str">
        <f>IFERROR(IF(INDEX('DETALHE GANHOS E GASTOS'!$C$31:$C$66,MATCH($B18,'DETALHE GANHOS E GASTOS'!$Z$31:$Z$66,0))=0,"",INDEX('DETALHE GANHOS E GASTOS'!$C$31:$C$66,MATCH($B18,'DETALHE GANHOS E GASTOS'!$Z$31:$Z$66,0))),"")</f>
        <v>Comunicações</v>
      </c>
      <c r="D18" s="224">
        <f>IFERROR(IF($C18="","",INDEX('DETALHE GANHOS E GASTOS'!$C$31:$H$66,MATCH($C18,'DETALHE GANHOS E GASTOS'!$C$31:$C$66,0),2)),"")</f>
        <v>0</v>
      </c>
      <c r="E18" s="224">
        <f>IFERROR(IF($C18="","",INDEX('DETALHE GANHOS E GASTOS'!$C$31:$H$66,MATCH($C18,'DETALHE GANHOS E GASTOS'!$C$31:$C$66,0),3)),"")</f>
        <v>0</v>
      </c>
      <c r="F18" s="224">
        <f>IFERROR(IF($C18="","",INDEX('DETALHE GANHOS E GASTOS'!$C$31:$H$66,MATCH($C18,'DETALHE GANHOS E GASTOS'!$C$31:$C$66,0),4)),"")</f>
        <v>0</v>
      </c>
      <c r="G18" s="224">
        <f>IFERROR(IF($C18="","",INDEX('DETALHE GANHOS E GASTOS'!$C$31:$H$66,MATCH($C18,'DETALHE GANHOS E GASTOS'!$C$31:$C$66,0),5)),"")</f>
        <v>0</v>
      </c>
      <c r="H18" s="115">
        <f>IFERROR(IF($C18="","",INDEX('DETALHE GANHOS E GASTOS'!$C$31:$H$66,MATCH($C18,'DETALHE GANHOS E GASTOS'!$C$31:$C$66,0),6)),"")</f>
        <v>75463.05</v>
      </c>
      <c r="I18" s="214">
        <f t="shared" si="0"/>
        <v>4.2432649242011226E-2</v>
      </c>
    </row>
    <row r="19" spans="2:9" ht="15" customHeight="1" x14ac:dyDescent="0.25">
      <c r="B19" s="77" t="s">
        <v>446</v>
      </c>
      <c r="C19" s="48" t="str">
        <f>IFERROR(IF(INDEX('DETALHE GANHOS E GASTOS'!$C$31:$C$66,MATCH($B19,'DETALHE GANHOS E GASTOS'!$Z$31:$Z$66,0))=0,"",INDEX('DETALHE GANHOS E GASTOS'!$C$31:$C$66,MATCH($B19,'DETALHE GANHOS E GASTOS'!$Z$31:$Z$66,0))),"")</f>
        <v>Ferramentas e utensílios de desgaste rápido</v>
      </c>
      <c r="D19" s="224">
        <f>IFERROR(IF($C19="","",INDEX('DETALHE GANHOS E GASTOS'!$C$31:$H$66,MATCH($C19,'DETALHE GANHOS E GASTOS'!$C$31:$C$66,0),2)),"")</f>
        <v>0</v>
      </c>
      <c r="E19" s="224">
        <f>IFERROR(IF($C19="","",INDEX('DETALHE GANHOS E GASTOS'!$C$31:$H$66,MATCH($C19,'DETALHE GANHOS E GASTOS'!$C$31:$C$66,0),3)),"")</f>
        <v>0</v>
      </c>
      <c r="F19" s="224">
        <f>IFERROR(IF($C19="","",INDEX('DETALHE GANHOS E GASTOS'!$C$31:$H$66,MATCH($C19,'DETALHE GANHOS E GASTOS'!$C$31:$C$66,0),4)),"")</f>
        <v>0</v>
      </c>
      <c r="G19" s="224">
        <f>IFERROR(IF($C19="","",INDEX('DETALHE GANHOS E GASTOS'!$C$31:$H$66,MATCH($C19,'DETALHE GANHOS E GASTOS'!$C$31:$C$66,0),5)),"")</f>
        <v>0</v>
      </c>
      <c r="H19" s="115">
        <f>IFERROR(IF($C19="","",INDEX('DETALHE GANHOS E GASTOS'!$C$31:$H$66,MATCH($C19,'DETALHE GANHOS E GASTOS'!$C$31:$C$66,0),6)),"")</f>
        <v>27178.880000000001</v>
      </c>
      <c r="I19" s="214">
        <f t="shared" si="0"/>
        <v>1.5282603629600369E-2</v>
      </c>
    </row>
    <row r="20" spans="2:9" ht="15" customHeight="1" x14ac:dyDescent="0.25">
      <c r="B20" s="77" t="s">
        <v>447</v>
      </c>
      <c r="C20" s="48" t="str">
        <f>IFERROR(IF(INDEX('DETALHE GANHOS E GASTOS'!$C$31:$C$66,MATCH($B20,'DETALHE GANHOS E GASTOS'!$Z$31:$Z$66,0))=0,"",INDEX('DETALHE GANHOS E GASTOS'!$C$31:$C$66,MATCH($B20,'DETALHE GANHOS E GASTOS'!$Z$31:$Z$66,0))),"")</f>
        <v>Livros e documentação técnica</v>
      </c>
      <c r="D20" s="224">
        <f>IFERROR(IF($C20="","",INDEX('DETALHE GANHOS E GASTOS'!$C$31:$H$66,MATCH($C20,'DETALHE GANHOS E GASTOS'!$C$31:$C$66,0),2)),"")</f>
        <v>0</v>
      </c>
      <c r="E20" s="224">
        <f>IFERROR(IF($C20="","",INDEX('DETALHE GANHOS E GASTOS'!$C$31:$H$66,MATCH($C20,'DETALHE GANHOS E GASTOS'!$C$31:$C$66,0),3)),"")</f>
        <v>0</v>
      </c>
      <c r="F20" s="224">
        <f>IFERROR(IF($C20="","",INDEX('DETALHE GANHOS E GASTOS'!$C$31:$H$66,MATCH($C20,'DETALHE GANHOS E GASTOS'!$C$31:$C$66,0),4)),"")</f>
        <v>0</v>
      </c>
      <c r="G20" s="224">
        <f>IFERROR(IF($C20="","",INDEX('DETALHE GANHOS E GASTOS'!$C$31:$H$66,MATCH($C20,'DETALHE GANHOS E GASTOS'!$C$31:$C$66,0),5)),"")</f>
        <v>0</v>
      </c>
      <c r="H20" s="115">
        <f>IFERROR(IF($C20="","",INDEX('DETALHE GANHOS E GASTOS'!$C$31:$H$66,MATCH($C20,'DETALHE GANHOS E GASTOS'!$C$31:$C$66,0),6)),"")</f>
        <v>25000</v>
      </c>
      <c r="I20" s="214">
        <f t="shared" si="0"/>
        <v>1.405742586670272E-2</v>
      </c>
    </row>
    <row r="21" spans="2:9" ht="15" customHeight="1" x14ac:dyDescent="0.25">
      <c r="B21" s="77" t="s">
        <v>448</v>
      </c>
      <c r="C21" s="48" t="str">
        <f>IFERROR(IF(INDEX('DETALHE GANHOS E GASTOS'!$C$31:$C$66,MATCH($B21,'DETALHE GANHOS E GASTOS'!$Z$31:$Z$66,0))=0,"",INDEX('DETALHE GANHOS E GASTOS'!$C$31:$C$66,MATCH($B21,'DETALHE GANHOS E GASTOS'!$Z$31:$Z$66,0))),"")</f>
        <v>Material de Escritório</v>
      </c>
      <c r="D21" s="224">
        <f>IFERROR(IF($C21="","",INDEX('DETALHE GANHOS E GASTOS'!$C$31:$H$66,MATCH($C21,'DETALHE GANHOS E GASTOS'!$C$31:$C$66,0),2)),"")</f>
        <v>0</v>
      </c>
      <c r="E21" s="224">
        <f>IFERROR(IF($C21="","",INDEX('DETALHE GANHOS E GASTOS'!$C$31:$H$66,MATCH($C21,'DETALHE GANHOS E GASTOS'!$C$31:$C$66,0),3)),"")</f>
        <v>0</v>
      </c>
      <c r="F21" s="224">
        <f>IFERROR(IF($C21="","",INDEX('DETALHE GANHOS E GASTOS'!$C$31:$H$66,MATCH($C21,'DETALHE GANHOS E GASTOS'!$C$31:$C$66,0),4)),"")</f>
        <v>0</v>
      </c>
      <c r="G21" s="224">
        <f>IFERROR(IF($C21="","",INDEX('DETALHE GANHOS E GASTOS'!$C$31:$H$66,MATCH($C21,'DETALHE GANHOS E GASTOS'!$C$31:$C$66,0),5)),"")</f>
        <v>0</v>
      </c>
      <c r="H21" s="115">
        <f>IFERROR(IF($C21="","",INDEX('DETALHE GANHOS E GASTOS'!$C$31:$H$66,MATCH($C21,'DETALHE GANHOS E GASTOS'!$C$31:$C$66,0),6)),"")</f>
        <v>15822.36</v>
      </c>
      <c r="I21" s="214">
        <f t="shared" si="0"/>
        <v>8.8968661094512985E-3</v>
      </c>
    </row>
    <row r="22" spans="2:9" ht="15" customHeight="1" x14ac:dyDescent="0.25">
      <c r="B22" s="77" t="s">
        <v>449</v>
      </c>
      <c r="C22" s="48" t="str">
        <f>IFERROR(IF(INDEX('DETALHE GANHOS E GASTOS'!$C$31:$C$66,MATCH($B22,'DETALHE GANHOS E GASTOS'!$Z$31:$Z$66,0))=0,"",INDEX('DETALHE GANHOS E GASTOS'!$C$31:$C$66,MATCH($B22,'DETALHE GANHOS E GASTOS'!$Z$31:$Z$66,0))),"")</f>
        <v>Publicidade e propaganda</v>
      </c>
      <c r="D22" s="224">
        <f>IFERROR(IF($C22="","",INDEX('DETALHE GANHOS E GASTOS'!$C$31:$H$66,MATCH($C22,'DETALHE GANHOS E GASTOS'!$C$31:$C$66,0),2)),"")</f>
        <v>0</v>
      </c>
      <c r="E22" s="224">
        <f>IFERROR(IF($C22="","",INDEX('DETALHE GANHOS E GASTOS'!$C$31:$H$66,MATCH($C22,'DETALHE GANHOS E GASTOS'!$C$31:$C$66,0),3)),"")</f>
        <v>0</v>
      </c>
      <c r="F22" s="224">
        <f>IFERROR(IF($C22="","",INDEX('DETALHE GANHOS E GASTOS'!$C$31:$H$66,MATCH($C22,'DETALHE GANHOS E GASTOS'!$C$31:$C$66,0),4)),"")</f>
        <v>0</v>
      </c>
      <c r="G22" s="224">
        <f>IFERROR(IF($C22="","",INDEX('DETALHE GANHOS E GASTOS'!$C$31:$H$66,MATCH($C22,'DETALHE GANHOS E GASTOS'!$C$31:$C$66,0),5)),"")</f>
        <v>0</v>
      </c>
      <c r="H22" s="115">
        <f>IFERROR(IF($C22="","",INDEX('DETALHE GANHOS E GASTOS'!$C$31:$H$66,MATCH($C22,'DETALHE GANHOS E GASTOS'!$C$31:$C$66,0),6)),"")</f>
        <v>10140</v>
      </c>
      <c r="I22" s="214">
        <f t="shared" si="0"/>
        <v>5.7016919315346229E-3</v>
      </c>
    </row>
    <row r="23" spans="2:9" ht="15" customHeight="1" x14ac:dyDescent="0.25">
      <c r="B23" s="77" t="s">
        <v>450</v>
      </c>
      <c r="C23" s="48" t="str">
        <f>IFERROR(IF(INDEX('DETALHE GANHOS E GASTOS'!$C$31:$C$66,MATCH($B23,'DETALHE GANHOS E GASTOS'!$Z$31:$Z$66,0))=0,"",INDEX('DETALHE GANHOS E GASTOS'!$C$31:$C$66,MATCH($B23,'DETALHE GANHOS E GASTOS'!$Z$31:$Z$66,0))),"")</f>
        <v>Electricidade</v>
      </c>
      <c r="D23" s="224">
        <f>IFERROR(IF($C23="","",INDEX('DETALHE GANHOS E GASTOS'!$C$31:$H$66,MATCH($C23,'DETALHE GANHOS E GASTOS'!$C$31:$C$66,0),2)),"")</f>
        <v>0</v>
      </c>
      <c r="E23" s="224">
        <f>IFERROR(IF($C23="","",INDEX('DETALHE GANHOS E GASTOS'!$C$31:$H$66,MATCH($C23,'DETALHE GANHOS E GASTOS'!$C$31:$C$66,0),3)),"")</f>
        <v>0</v>
      </c>
      <c r="F23" s="224">
        <f>IFERROR(IF($C23="","",INDEX('DETALHE GANHOS E GASTOS'!$C$31:$H$66,MATCH($C23,'DETALHE GANHOS E GASTOS'!$C$31:$C$66,0),4)),"")</f>
        <v>0</v>
      </c>
      <c r="G23" s="224">
        <f>IFERROR(IF($C23="","",INDEX('DETALHE GANHOS E GASTOS'!$C$31:$H$66,MATCH($C23,'DETALHE GANHOS E GASTOS'!$C$31:$C$66,0),5)),"")</f>
        <v>0</v>
      </c>
      <c r="H23" s="115">
        <f>IFERROR(IF($C23="","",INDEX('DETALHE GANHOS E GASTOS'!$C$31:$H$66,MATCH($C23,'DETALHE GANHOS E GASTOS'!$C$31:$C$66,0),6)),"")</f>
        <v>9046.51</v>
      </c>
      <c r="I23" s="214">
        <f t="shared" si="0"/>
        <v>5.086825747095393E-3</v>
      </c>
    </row>
    <row r="24" spans="2:9" ht="15" customHeight="1" x14ac:dyDescent="0.25">
      <c r="B24" s="77" t="s">
        <v>454</v>
      </c>
      <c r="C24" s="48" t="str">
        <f>IFERROR(IF(INDEX('DETALHE GANHOS E GASTOS'!$C$31:$C$66,MATCH($B24,'DETALHE GANHOS E GASTOS'!$Z$31:$Z$66,0))=0,"",INDEX('DETALHE GANHOS E GASTOS'!$C$31:$C$66,MATCH($B24,'DETALHE GANHOS E GASTOS'!$Z$31:$Z$66,0))),"")</f>
        <v>Deslocações e estadias</v>
      </c>
      <c r="D24" s="224">
        <f>IFERROR(IF($C24="","",INDEX('DETALHE GANHOS E GASTOS'!$C$31:$H$66,MATCH($C24,'DETALHE GANHOS E GASTOS'!$C$31:$C$66,0),2)),"")</f>
        <v>0</v>
      </c>
      <c r="E24" s="224">
        <f>IFERROR(IF($C24="","",INDEX('DETALHE GANHOS E GASTOS'!$C$31:$H$66,MATCH($C24,'DETALHE GANHOS E GASTOS'!$C$31:$C$66,0),3)),"")</f>
        <v>0</v>
      </c>
      <c r="F24" s="224">
        <f>IFERROR(IF($C24="","",INDEX('DETALHE GANHOS E GASTOS'!$C$31:$H$66,MATCH($C24,'DETALHE GANHOS E GASTOS'!$C$31:$C$66,0),4)),"")</f>
        <v>0</v>
      </c>
      <c r="G24" s="224">
        <f>IFERROR(IF($C24="","",INDEX('DETALHE GANHOS E GASTOS'!$C$31:$H$66,MATCH($C24,'DETALHE GANHOS E GASTOS'!$C$31:$C$66,0),5)),"")</f>
        <v>0</v>
      </c>
      <c r="H24" s="115">
        <f>IFERROR(IF($C24="","",INDEX('DETALHE GANHOS E GASTOS'!$C$31:$H$66,MATCH($C24,'DETALHE GANHOS E GASTOS'!$C$31:$C$66,0),6)),"")</f>
        <v>8465</v>
      </c>
      <c r="I24" s="214">
        <f t="shared" si="0"/>
        <v>4.759844398465541E-3</v>
      </c>
    </row>
    <row r="25" spans="2:9" ht="15" customHeight="1" x14ac:dyDescent="0.25">
      <c r="B25" s="77" t="s">
        <v>455</v>
      </c>
      <c r="C25" s="48" t="str">
        <f>IFERROR(IF(INDEX('DETALHE GANHOS E GASTOS'!$C$31:$C$66,MATCH($B25,'DETALHE GANHOS E GASTOS'!$Z$31:$Z$66,0))=0,"",INDEX('DETALHE GANHOS E GASTOS'!$C$31:$C$66,MATCH($B25,'DETALHE GANHOS E GASTOS'!$Z$31:$Z$66,0))),"")</f>
        <v>Limpeza, higiene e conforto</v>
      </c>
      <c r="D25" s="224">
        <f>IFERROR(IF($C25="","",INDEX('DETALHE GANHOS E GASTOS'!$C$31:$H$66,MATCH($C25,'DETALHE GANHOS E GASTOS'!$C$31:$C$66,0),2)),"")</f>
        <v>0</v>
      </c>
      <c r="E25" s="224">
        <f>IFERROR(IF($C25="","",INDEX('DETALHE GANHOS E GASTOS'!$C$31:$H$66,MATCH($C25,'DETALHE GANHOS E GASTOS'!$C$31:$C$66,0),3)),"")</f>
        <v>0</v>
      </c>
      <c r="F25" s="224">
        <f>IFERROR(IF($C25="","",INDEX('DETALHE GANHOS E GASTOS'!$C$31:$H$66,MATCH($C25,'DETALHE GANHOS E GASTOS'!$C$31:$C$66,0),4)),"")</f>
        <v>0</v>
      </c>
      <c r="G25" s="224">
        <f>IFERROR(IF($C25="","",INDEX('DETALHE GANHOS E GASTOS'!$C$31:$H$66,MATCH($C25,'DETALHE GANHOS E GASTOS'!$C$31:$C$66,0),5)),"")</f>
        <v>0</v>
      </c>
      <c r="H25" s="115">
        <f>IFERROR(IF($C25="","",INDEX('DETALHE GANHOS E GASTOS'!$C$31:$H$66,MATCH($C25,'DETALHE GANHOS E GASTOS'!$C$31:$C$66,0),6)),"")</f>
        <v>4000</v>
      </c>
      <c r="I25" s="214">
        <f t="shared" si="0"/>
        <v>2.2491881386724351E-3</v>
      </c>
    </row>
    <row r="26" spans="2:9" ht="15" customHeight="1" x14ac:dyDescent="0.25">
      <c r="B26" s="77" t="s">
        <v>456</v>
      </c>
      <c r="C26" s="48" t="str">
        <f>IFERROR(IF(INDEX('DETALHE GANHOS E GASTOS'!$C$31:$C$66,MATCH($B26,'DETALHE GANHOS E GASTOS'!$Z$31:$Z$66,0))=0,"",INDEX('DETALHE GANHOS E GASTOS'!$C$31:$C$66,MATCH($B26,'DETALHE GANHOS E GASTOS'!$Z$31:$Z$66,0))),"")</f>
        <v>Material de Manutenção e Reparação</v>
      </c>
      <c r="D26" s="224">
        <f>IFERROR(IF($C26="","",INDEX('DETALHE GANHOS E GASTOS'!$C$31:$H$66,MATCH($C26,'DETALHE GANHOS E GASTOS'!$C$31:$C$66,0),2)),"")</f>
        <v>0</v>
      </c>
      <c r="E26" s="224">
        <f>IFERROR(IF($C26="","",INDEX('DETALHE GANHOS E GASTOS'!$C$31:$H$66,MATCH($C26,'DETALHE GANHOS E GASTOS'!$C$31:$C$66,0),3)),"")</f>
        <v>0</v>
      </c>
      <c r="F26" s="224">
        <f>IFERROR(IF($C26="","",INDEX('DETALHE GANHOS E GASTOS'!$C$31:$H$66,MATCH($C26,'DETALHE GANHOS E GASTOS'!$C$31:$C$66,0),4)),"")</f>
        <v>0</v>
      </c>
      <c r="G26" s="224">
        <f>IFERROR(IF($C26="","",INDEX('DETALHE GANHOS E GASTOS'!$C$31:$H$66,MATCH($C26,'DETALHE GANHOS E GASTOS'!$C$31:$C$66,0),5)),"")</f>
        <v>0</v>
      </c>
      <c r="H26" s="115">
        <f>IFERROR(IF($C26="","",INDEX('DETALHE GANHOS E GASTOS'!$C$31:$H$66,MATCH($C26,'DETALHE GANHOS E GASTOS'!$C$31:$C$66,0),6)),"")</f>
        <v>830</v>
      </c>
      <c r="I26" s="214">
        <f t="shared" si="0"/>
        <v>4.6670653877453031E-4</v>
      </c>
    </row>
    <row r="27" spans="2:9" ht="15" customHeight="1" x14ac:dyDescent="0.25">
      <c r="B27" s="72" t="s">
        <v>457</v>
      </c>
      <c r="C27" s="51" t="str">
        <f>IFERROR(IF(INDEX('DETALHE GANHOS E GASTOS'!$C$31:$C$66,MATCH($B27,'DETALHE GANHOS E GASTOS'!$Z$31:$Z$66,0))=0,"",INDEX('DETALHE GANHOS E GASTOS'!$C$31:$C$66,MATCH($B27,'DETALHE GANHOS E GASTOS'!$Z$31:$Z$66,0))),"")</f>
        <v/>
      </c>
      <c r="D27" s="91" t="str">
        <f>IFERROR(IF($C27="","",INDEX('DETALHE GANHOS E GASTOS'!$C$31:$H$66,MATCH($C27,'DETALHE GANHOS E GASTOS'!$C$31:$C$66,0),2)),"")</f>
        <v/>
      </c>
      <c r="E27" s="91" t="str">
        <f>IFERROR(IF($C27="","",INDEX('DETALHE GANHOS E GASTOS'!$C$31:$H$66,MATCH($C27,'DETALHE GANHOS E GASTOS'!$C$31:$C$66,0),3)),"")</f>
        <v/>
      </c>
      <c r="F27" s="91" t="str">
        <f>IFERROR(IF($C27="","",INDEX('DETALHE GANHOS E GASTOS'!$C$31:$H$66,MATCH($C27,'DETALHE GANHOS E GASTOS'!$C$31:$C$66,0),4)),"")</f>
        <v/>
      </c>
      <c r="G27" s="91" t="str">
        <f>IFERROR(IF($C27="","",INDEX('DETALHE GANHOS E GASTOS'!$C$31:$H$66,MATCH($C27,'DETALHE GANHOS E GASTOS'!$C$31:$C$66,0),5)),"")</f>
        <v/>
      </c>
      <c r="H27" s="107" t="str">
        <f>IFERROR(IF($C27="","",INDEX('DETALHE GANHOS E GASTOS'!$C$31:$H$66,MATCH($C27,'DETALHE GANHOS E GASTOS'!$C$31:$C$66,0),6)),"")</f>
        <v/>
      </c>
      <c r="I27" s="62" t="str">
        <f t="shared" si="0"/>
        <v/>
      </c>
    </row>
    <row r="28" spans="2:9" ht="19.5" customHeight="1" x14ac:dyDescent="0.25">
      <c r="B28" s="124" t="s">
        <v>457</v>
      </c>
      <c r="C28" s="125" t="s">
        <v>458</v>
      </c>
      <c r="D28" s="211">
        <f>IFERROR(SUM(D12:D27),"")</f>
        <v>0</v>
      </c>
      <c r="E28" s="211">
        <f t="shared" ref="E28:H28" si="1">IFERROR(SUM(E12:E27),"")</f>
        <v>0</v>
      </c>
      <c r="F28" s="211">
        <f t="shared" si="1"/>
        <v>0</v>
      </c>
      <c r="G28" s="211">
        <f t="shared" si="1"/>
        <v>0</v>
      </c>
      <c r="H28" s="112">
        <f t="shared" si="1"/>
        <v>1778419.48</v>
      </c>
      <c r="I28" s="212">
        <f>IFERROR(IF(C28&lt;&gt;"",H28/$H$28,""),"")</f>
        <v>1</v>
      </c>
    </row>
    <row r="29" spans="2:9" ht="15" customHeight="1" x14ac:dyDescent="0.25"/>
    <row r="30" spans="2:9" ht="15" customHeight="1" x14ac:dyDescent="0.25"/>
    <row r="31" spans="2:9" ht="15" customHeight="1" x14ac:dyDescent="0.25"/>
    <row r="32" spans="2:9"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sheetData>
  <sheetProtection sort="0" autoFilter="0"/>
  <mergeCells count="2">
    <mergeCell ref="C8:I8"/>
    <mergeCell ref="D5:F5"/>
  </mergeCells>
  <hyperlinks>
    <hyperlink ref="C1" location="ÍNDICE!A1" display="BACK TO INDEX" xr:uid="{00000000-0004-0000-0C00-000000000000}"/>
  </hyperlinks>
  <pageMargins left="0.7" right="0.7" top="0.75" bottom="0.75" header="0.3" footer="0.3"/>
  <pageSetup scale="53" orientation="portrait" r:id="rId1"/>
  <colBreaks count="1" manualBreakCount="1">
    <brk id="10" min="1" max="69"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9" tint="-0.249977111117893"/>
  </sheetPr>
  <dimension ref="A1:N232"/>
  <sheetViews>
    <sheetView showGridLines="0" topLeftCell="C1" zoomScaleNormal="100" workbookViewId="0">
      <pane ySplit="1" topLeftCell="A2" activePane="bottomLeft" state="frozen"/>
      <selection activeCell="B1" sqref="B1:C1"/>
      <selection pane="bottomLeft" activeCell="H231" sqref="H231"/>
    </sheetView>
  </sheetViews>
  <sheetFormatPr defaultColWidth="0" defaultRowHeight="15" customHeight="1" zeroHeight="1" x14ac:dyDescent="0.25"/>
  <cols>
    <col min="1" max="1" width="1.140625" style="3" customWidth="1"/>
    <col min="2" max="2" width="36" style="4" customWidth="1"/>
    <col min="3" max="7" width="18.85546875" style="3" customWidth="1"/>
    <col min="8" max="8" width="12.140625" style="57" customWidth="1"/>
    <col min="9" max="9" width="0.85546875" style="3" customWidth="1"/>
    <col min="10" max="16384" width="17" style="3" hidden="1"/>
  </cols>
  <sheetData>
    <row r="1" spans="1:14" ht="21" customHeight="1" x14ac:dyDescent="0.2">
      <c r="A1" s="2"/>
      <c r="B1" s="167" t="s">
        <v>29</v>
      </c>
      <c r="C1" s="2"/>
      <c r="D1" s="2"/>
      <c r="E1" s="2"/>
      <c r="F1" s="2"/>
      <c r="G1" s="2"/>
      <c r="H1" s="56"/>
      <c r="I1" s="56"/>
    </row>
    <row r="2" spans="1:14" ht="15" customHeight="1" x14ac:dyDescent="0.2"/>
    <row r="3" spans="1:14" ht="15" customHeight="1" x14ac:dyDescent="0.25">
      <c r="D3" s="12" t="s">
        <v>37</v>
      </c>
      <c r="E3" s="186">
        <f>IF(COVER!E6&lt;&gt;"",COVER!E6,"")</f>
        <v>2021</v>
      </c>
    </row>
    <row r="4" spans="1:14" ht="15" customHeight="1" x14ac:dyDescent="0.2"/>
    <row r="5" spans="1:14" ht="20.25" customHeight="1" x14ac:dyDescent="0.2">
      <c r="B5" s="126" t="s">
        <v>4</v>
      </c>
      <c r="C5" s="451" t="str">
        <f>IF(COVER!E8&lt;&gt;"",COVER!E8,"")</f>
        <v>POWER BLOX AFRICA, S.A.</v>
      </c>
      <c r="D5" s="374"/>
      <c r="E5" s="375"/>
    </row>
    <row r="6" spans="1:14" ht="15" customHeight="1" x14ac:dyDescent="0.2"/>
    <row r="7" spans="1:14" ht="15" customHeight="1" x14ac:dyDescent="0.2"/>
    <row r="8" spans="1:14" s="6" customFormat="1" ht="30.75" customHeight="1" x14ac:dyDescent="0.25">
      <c r="B8" s="376" t="s">
        <v>467</v>
      </c>
      <c r="C8" s="377"/>
      <c r="D8" s="377"/>
      <c r="E8" s="377"/>
      <c r="F8" s="377"/>
      <c r="G8" s="377"/>
      <c r="H8" s="377"/>
    </row>
    <row r="9" spans="1:14" ht="15" customHeight="1" x14ac:dyDescent="0.25">
      <c r="G9" s="122" t="s">
        <v>432</v>
      </c>
      <c r="H9" s="121" t="str">
        <f>IF(COVER!$K$6&lt;&gt;"",CONCATENATE("milhares ",COVER!$K$6),"")</f>
        <v>milhares MZN</v>
      </c>
    </row>
    <row r="10" spans="1:14" s="31" customFormat="1" ht="31.5" customHeight="1" x14ac:dyDescent="0.25">
      <c r="B10" s="102"/>
      <c r="C10" s="68">
        <f>IF(D10&lt;&gt;"",D10-1,"")</f>
        <v>2017</v>
      </c>
      <c r="D10" s="68">
        <f>IF(E10&lt;&gt;"",E10-1,"")</f>
        <v>2018</v>
      </c>
      <c r="E10" s="68">
        <f>IF(F10&lt;&gt;"",F10-1,"")</f>
        <v>2019</v>
      </c>
      <c r="F10" s="68">
        <f>IF(G10&lt;&gt;"",G10-1,"")</f>
        <v>2020</v>
      </c>
      <c r="G10" s="69">
        <f>$E$3</f>
        <v>2021</v>
      </c>
      <c r="H10" s="70" t="str">
        <f>IF(AND(F10&lt;&gt;"",G10&lt;&gt;""),CONCATENATE("Variação % (",G10,"/",F10,")"),"")</f>
        <v>Variação % (2021/2020)</v>
      </c>
    </row>
    <row r="11" spans="1:14" ht="15" customHeight="1" x14ac:dyDescent="0.25"/>
    <row r="12" spans="1:14" ht="23.25" customHeight="1" x14ac:dyDescent="0.25">
      <c r="B12" s="53" t="s">
        <v>178</v>
      </c>
      <c r="C12" s="211">
        <f>SUM(C13:C14)</f>
        <v>0</v>
      </c>
      <c r="D12" s="211">
        <f>SUM(D13:D14)</f>
        <v>0</v>
      </c>
      <c r="E12" s="211">
        <f>SUM(E13:E14)</f>
        <v>0</v>
      </c>
      <c r="F12" s="211">
        <f>SUM(F13:F14)</f>
        <v>0</v>
      </c>
      <c r="G12" s="112">
        <f>SUM(G13:G14)</f>
        <v>0</v>
      </c>
      <c r="H12" s="212" t="str">
        <f>IFERROR(IF(AND(F12&lt;0,G12&lt;=0),-(G12-F12)/F12,IF(AND(F12&lt;0,G12&gt;0),-(G12-F12)/F12,(G12-F12)/F12)),"")</f>
        <v/>
      </c>
    </row>
    <row r="13" spans="1:14" ht="17.25" customHeight="1" x14ac:dyDescent="0.25">
      <c r="B13" s="52" t="s">
        <v>470</v>
      </c>
      <c r="C13" s="235">
        <f>'INFORMAÇÃO FINANCEIRA'!C58</f>
        <v>0</v>
      </c>
      <c r="D13" s="235">
        <f>'INFORMAÇÃO FINANCEIRA'!D58</f>
        <v>0</v>
      </c>
      <c r="E13" s="235">
        <f>'INFORMAÇÃO FINANCEIRA'!E58</f>
        <v>0</v>
      </c>
      <c r="F13" s="235">
        <f>'INFORMAÇÃO FINANCEIRA'!F58</f>
        <v>0</v>
      </c>
      <c r="G13" s="113">
        <f>'INFORMAÇÃO FINANCEIRA'!G58</f>
        <v>0</v>
      </c>
      <c r="H13" s="216" t="str">
        <f t="shared" ref="H13:H14" si="0">IFERROR(IF(AND(F13&lt;0,G13&lt;=0),-(G13-F13)/F13,IF(AND(F13&lt;0,G13&gt;0),-(G13-F13)/F13,(G13-F13)/F13)),"")</f>
        <v/>
      </c>
    </row>
    <row r="14" spans="1:14" ht="17.25" customHeight="1" x14ac:dyDescent="0.25">
      <c r="B14" s="48" t="s">
        <v>471</v>
      </c>
      <c r="C14" s="224">
        <f>'INFORMAÇÃO FINANCEIRA'!C52</f>
        <v>0</v>
      </c>
      <c r="D14" s="224">
        <f>'INFORMAÇÃO FINANCEIRA'!D52</f>
        <v>0</v>
      </c>
      <c r="E14" s="224">
        <f>'INFORMAÇÃO FINANCEIRA'!E52</f>
        <v>0</v>
      </c>
      <c r="F14" s="224">
        <f>'INFORMAÇÃO FINANCEIRA'!F52</f>
        <v>0</v>
      </c>
      <c r="G14" s="115">
        <f>'INFORMAÇÃO FINANCEIRA'!G52</f>
        <v>0</v>
      </c>
      <c r="H14" s="214" t="str">
        <f t="shared" si="0"/>
        <v/>
      </c>
    </row>
    <row r="15" spans="1:14" s="57" customFormat="1" ht="15" customHeight="1" x14ac:dyDescent="0.25">
      <c r="A15" s="3"/>
      <c r="B15" s="4"/>
      <c r="C15" s="3"/>
      <c r="D15" s="3"/>
      <c r="E15" s="3"/>
      <c r="F15" s="3"/>
      <c r="G15" s="122"/>
      <c r="I15" s="3"/>
      <c r="J15" s="3"/>
      <c r="K15" s="3"/>
      <c r="L15" s="3"/>
      <c r="M15" s="3"/>
      <c r="N15" s="3"/>
    </row>
    <row r="16" spans="1:14" s="57" customFormat="1" ht="15" customHeight="1" x14ac:dyDescent="0.25">
      <c r="A16" s="3"/>
      <c r="B16" s="4"/>
      <c r="C16" s="3"/>
      <c r="D16" s="3"/>
      <c r="E16" s="3"/>
      <c r="F16" s="3"/>
      <c r="G16" s="3"/>
      <c r="I16" s="3"/>
      <c r="J16" s="3"/>
      <c r="K16" s="3"/>
      <c r="L16" s="3"/>
      <c r="M16" s="3"/>
      <c r="N16" s="3"/>
    </row>
    <row r="17" spans="1:14" s="57" customFormat="1" ht="15" customHeight="1" x14ac:dyDescent="0.25">
      <c r="A17" s="3"/>
      <c r="B17" s="4"/>
      <c r="C17" s="3"/>
      <c r="D17" s="3"/>
      <c r="E17" s="3"/>
      <c r="F17" s="3"/>
      <c r="G17" s="3"/>
      <c r="I17" s="3"/>
      <c r="J17" s="3"/>
      <c r="K17" s="3"/>
      <c r="L17" s="3"/>
      <c r="M17" s="3"/>
      <c r="N17" s="3"/>
    </row>
    <row r="18" spans="1:14" s="57" customFormat="1" ht="15" hidden="1" customHeight="1" x14ac:dyDescent="0.2">
      <c r="A18" s="3"/>
      <c r="B18" s="4"/>
      <c r="C18" s="3"/>
      <c r="D18" s="3"/>
      <c r="E18" s="3"/>
      <c r="F18" s="3"/>
      <c r="G18" s="3"/>
      <c r="I18" s="3"/>
      <c r="J18" s="3"/>
      <c r="K18" s="3"/>
      <c r="L18" s="3"/>
      <c r="M18" s="3"/>
      <c r="N18" s="3"/>
    </row>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sheetData>
  <sheetProtection algorithmName="SHA-512" hashValue="K2/bf/fnrdCVjxsDxlSlg7Mf1vANCrOkku+uwy8kuk0NaCFSUX99jZ/nIg+iIPDYymi6hZ7VBZ14AF1CJF0MhQ==" saltValue="vZgfRhbsxLAyo/KlaN0WHw==" spinCount="100000" sheet="1" objects="1" scenarios="1" sort="0" autoFilter="0"/>
  <mergeCells count="2">
    <mergeCell ref="C5:E5"/>
    <mergeCell ref="B8:H8"/>
  </mergeCells>
  <hyperlinks>
    <hyperlink ref="B1" location="ÍNDICE!A1" display="BACK TO INDEX" xr:uid="{00000000-0004-0000-0D00-000000000000}"/>
  </hyperlinks>
  <pageMargins left="0.7" right="0.7" top="0.75" bottom="0.75" header="0.3" footer="0.3"/>
  <pageSetup scale="53" orientation="portrait" r:id="rId1"/>
  <colBreaks count="1" manualBreakCount="1">
    <brk id="9" min="1" max="231"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O423"/>
  <sheetViews>
    <sheetView showGridLines="0" zoomScaleNormal="100" workbookViewId="0">
      <pane ySplit="1" topLeftCell="A2" activePane="bottomLeft" state="frozen"/>
      <selection activeCell="B1" sqref="B1:C1"/>
      <selection pane="bottomLeft" activeCell="F20" sqref="F20"/>
    </sheetView>
  </sheetViews>
  <sheetFormatPr defaultColWidth="0" defaultRowHeight="15" customHeight="1" zeroHeight="1" x14ac:dyDescent="0.25"/>
  <cols>
    <col min="1" max="1" width="1.140625" style="3" customWidth="1"/>
    <col min="2" max="2" width="10.85546875" style="4" hidden="1" customWidth="1"/>
    <col min="3" max="3" width="27.140625" style="4" customWidth="1"/>
    <col min="4" max="4" width="14.42578125" style="3" customWidth="1"/>
    <col min="5" max="5" width="18.85546875" style="3" customWidth="1"/>
    <col min="6" max="6" width="9.28515625" style="3" customWidth="1"/>
    <col min="7" max="8" width="14.42578125" style="3" customWidth="1"/>
    <col min="9" max="9" width="13.28515625" style="3" customWidth="1"/>
    <col min="10" max="10" width="15.7109375" style="3" customWidth="1"/>
    <col min="11" max="13" width="18.85546875" style="3" customWidth="1"/>
    <col min="14" max="14" width="36.85546875" style="3" customWidth="1"/>
    <col min="15" max="15" width="1" style="3" customWidth="1"/>
    <col min="16" max="16384" width="8.42578125" style="3" hidden="1"/>
  </cols>
  <sheetData>
    <row r="1" spans="1:14" ht="21" customHeight="1" x14ac:dyDescent="0.2">
      <c r="A1" s="2"/>
      <c r="C1" s="167" t="s">
        <v>29</v>
      </c>
      <c r="D1" s="2"/>
      <c r="E1" s="2"/>
      <c r="F1" s="2"/>
      <c r="G1" s="2"/>
      <c r="H1" s="2"/>
      <c r="I1" s="2"/>
      <c r="J1" s="2"/>
      <c r="K1" s="2"/>
      <c r="L1" s="2"/>
      <c r="M1" s="2"/>
      <c r="N1" s="2"/>
    </row>
    <row r="2" spans="1:14" ht="15" customHeight="1" x14ac:dyDescent="0.2"/>
    <row r="3" spans="1:14" ht="15" customHeight="1" x14ac:dyDescent="0.25">
      <c r="D3" s="12" t="s">
        <v>37</v>
      </c>
      <c r="E3" s="186">
        <f>IF(COVER!E6&lt;&gt;"",COVER!E6,"")</f>
        <v>2021</v>
      </c>
    </row>
    <row r="4" spans="1:14" ht="15" customHeight="1" x14ac:dyDescent="0.2"/>
    <row r="5" spans="1:14" ht="20.25" customHeight="1" x14ac:dyDescent="0.2">
      <c r="C5" s="5" t="s">
        <v>4</v>
      </c>
      <c r="D5" s="373" t="str">
        <f>IF(COVER!E8&lt;&gt;"",COVER!E8,"")</f>
        <v>POWER BLOX AFRICA, S.A.</v>
      </c>
      <c r="E5" s="374"/>
      <c r="F5" s="374"/>
      <c r="G5" s="375"/>
    </row>
    <row r="6" spans="1:14" ht="15" customHeight="1" x14ac:dyDescent="0.2"/>
    <row r="7" spans="1:14" ht="15" customHeight="1" x14ac:dyDescent="0.2"/>
    <row r="8" spans="1:14" s="6" customFormat="1" ht="30.75" customHeight="1" x14ac:dyDescent="0.25">
      <c r="C8" s="376" t="s">
        <v>473</v>
      </c>
      <c r="D8" s="377"/>
      <c r="E8" s="377"/>
      <c r="F8" s="377"/>
      <c r="G8" s="377"/>
      <c r="H8" s="377"/>
      <c r="I8" s="377"/>
    </row>
    <row r="9" spans="1:14" ht="15" customHeight="1" x14ac:dyDescent="0.25"/>
    <row r="10" spans="1:14" ht="15" customHeight="1" x14ac:dyDescent="0.25">
      <c r="B10" s="71"/>
    </row>
    <row r="11" spans="1:14" s="31" customFormat="1" ht="29.25" customHeight="1" x14ac:dyDescent="0.25">
      <c r="B11" s="127"/>
      <c r="C11" s="236" t="s">
        <v>472</v>
      </c>
      <c r="D11" s="237" t="s">
        <v>483</v>
      </c>
      <c r="E11" s="237" t="s">
        <v>474</v>
      </c>
      <c r="F11" s="237" t="s">
        <v>52</v>
      </c>
      <c r="G11" s="237" t="s">
        <v>475</v>
      </c>
      <c r="H11" s="237" t="s">
        <v>476</v>
      </c>
      <c r="I11" s="237" t="s">
        <v>477</v>
      </c>
      <c r="J11" s="237" t="s">
        <v>478</v>
      </c>
      <c r="K11" s="237" t="s">
        <v>479</v>
      </c>
      <c r="L11" s="237" t="s">
        <v>482</v>
      </c>
      <c r="M11" s="237" t="s">
        <v>480</v>
      </c>
      <c r="N11" s="238" t="s">
        <v>481</v>
      </c>
    </row>
    <row r="12" spans="1:14" ht="15" customHeight="1" x14ac:dyDescent="0.25">
      <c r="B12" s="77" t="s">
        <v>439</v>
      </c>
      <c r="C12" s="239"/>
      <c r="D12" s="240"/>
      <c r="E12" s="240"/>
      <c r="F12" s="240"/>
      <c r="G12" s="241"/>
      <c r="H12" s="242"/>
      <c r="I12" s="243"/>
      <c r="J12" s="240"/>
      <c r="K12" s="244"/>
      <c r="L12" s="240"/>
      <c r="M12" s="244"/>
      <c r="N12" s="240"/>
    </row>
    <row r="13" spans="1:14" ht="15" customHeight="1" x14ac:dyDescent="0.25">
      <c r="B13" s="77" t="s">
        <v>440</v>
      </c>
      <c r="C13" s="245"/>
      <c r="D13" s="246"/>
      <c r="E13" s="246"/>
      <c r="F13" s="246"/>
      <c r="G13" s="247"/>
      <c r="H13" s="248"/>
      <c r="I13" s="249"/>
      <c r="J13" s="246"/>
      <c r="K13" s="250"/>
      <c r="L13" s="246"/>
      <c r="M13" s="250"/>
      <c r="N13" s="246"/>
    </row>
    <row r="14" spans="1:14" ht="15" customHeight="1" x14ac:dyDescent="0.25">
      <c r="B14" s="77" t="s">
        <v>441</v>
      </c>
      <c r="C14" s="245"/>
      <c r="D14" s="246"/>
      <c r="E14" s="246"/>
      <c r="F14" s="246"/>
      <c r="G14" s="247"/>
      <c r="H14" s="248"/>
      <c r="I14" s="249"/>
      <c r="J14" s="246"/>
      <c r="K14" s="250"/>
      <c r="L14" s="246"/>
      <c r="M14" s="250"/>
      <c r="N14" s="246"/>
    </row>
    <row r="15" spans="1:14" ht="15" customHeight="1" x14ac:dyDescent="0.25">
      <c r="B15" s="77" t="s">
        <v>442</v>
      </c>
      <c r="C15" s="245"/>
      <c r="D15" s="246"/>
      <c r="E15" s="246"/>
      <c r="F15" s="246"/>
      <c r="G15" s="247"/>
      <c r="H15" s="248"/>
      <c r="I15" s="249"/>
      <c r="J15" s="246"/>
      <c r="K15" s="250"/>
      <c r="L15" s="246"/>
      <c r="M15" s="250"/>
      <c r="N15" s="246"/>
    </row>
    <row r="16" spans="1:14" ht="15" customHeight="1" x14ac:dyDescent="0.25">
      <c r="B16" s="77" t="s">
        <v>443</v>
      </c>
      <c r="C16" s="245"/>
      <c r="D16" s="246"/>
      <c r="E16" s="246"/>
      <c r="F16" s="246"/>
      <c r="G16" s="247"/>
      <c r="H16" s="248"/>
      <c r="I16" s="249"/>
      <c r="J16" s="246"/>
      <c r="K16" s="250"/>
      <c r="L16" s="246"/>
      <c r="M16" s="250"/>
      <c r="N16" s="246"/>
    </row>
    <row r="17" spans="2:14" ht="15" customHeight="1" x14ac:dyDescent="0.25">
      <c r="B17" s="77" t="s">
        <v>444</v>
      </c>
      <c r="C17" s="245"/>
      <c r="D17" s="246"/>
      <c r="E17" s="246"/>
      <c r="F17" s="246"/>
      <c r="G17" s="247"/>
      <c r="H17" s="248"/>
      <c r="I17" s="249"/>
      <c r="J17" s="246"/>
      <c r="K17" s="250"/>
      <c r="L17" s="246"/>
      <c r="M17" s="250"/>
      <c r="N17" s="246"/>
    </row>
    <row r="18" spans="2:14" ht="15" customHeight="1" x14ac:dyDescent="0.25">
      <c r="B18" s="77" t="s">
        <v>445</v>
      </c>
      <c r="C18" s="245"/>
      <c r="D18" s="246"/>
      <c r="E18" s="246"/>
      <c r="F18" s="246"/>
      <c r="G18" s="247"/>
      <c r="H18" s="248"/>
      <c r="I18" s="249"/>
      <c r="J18" s="246"/>
      <c r="K18" s="250"/>
      <c r="L18" s="246"/>
      <c r="M18" s="250"/>
      <c r="N18" s="246"/>
    </row>
    <row r="19" spans="2:14" ht="15" customHeight="1" x14ac:dyDescent="0.25">
      <c r="B19" s="77" t="s">
        <v>446</v>
      </c>
      <c r="C19" s="245"/>
      <c r="D19" s="246"/>
      <c r="E19" s="246"/>
      <c r="F19" s="246"/>
      <c r="G19" s="247"/>
      <c r="H19" s="248"/>
      <c r="I19" s="249"/>
      <c r="J19" s="246"/>
      <c r="K19" s="250"/>
      <c r="L19" s="246"/>
      <c r="M19" s="250"/>
      <c r="N19" s="246"/>
    </row>
    <row r="20" spans="2:14" ht="15" customHeight="1" x14ac:dyDescent="0.25">
      <c r="B20" s="77" t="s">
        <v>447</v>
      </c>
      <c r="C20" s="245"/>
      <c r="D20" s="246"/>
      <c r="E20" s="246"/>
      <c r="F20" s="246"/>
      <c r="G20" s="247"/>
      <c r="H20" s="248"/>
      <c r="I20" s="249"/>
      <c r="J20" s="246"/>
      <c r="K20" s="250"/>
      <c r="L20" s="246"/>
      <c r="M20" s="250"/>
      <c r="N20" s="246"/>
    </row>
    <row r="21" spans="2:14" ht="15" customHeight="1" x14ac:dyDescent="0.25">
      <c r="B21" s="77" t="s">
        <v>448</v>
      </c>
      <c r="C21" s="245"/>
      <c r="D21" s="246"/>
      <c r="E21" s="246"/>
      <c r="F21" s="246"/>
      <c r="G21" s="247"/>
      <c r="H21" s="248"/>
      <c r="I21" s="249"/>
      <c r="J21" s="246"/>
      <c r="K21" s="250"/>
      <c r="L21" s="246"/>
      <c r="M21" s="250"/>
      <c r="N21" s="246"/>
    </row>
    <row r="22" spans="2:14" ht="15" customHeight="1" x14ac:dyDescent="0.25">
      <c r="B22" s="77" t="s">
        <v>449</v>
      </c>
      <c r="C22" s="245"/>
      <c r="D22" s="246"/>
      <c r="E22" s="246"/>
      <c r="F22" s="246"/>
      <c r="G22" s="247"/>
      <c r="H22" s="248"/>
      <c r="I22" s="249"/>
      <c r="J22" s="246"/>
      <c r="K22" s="250"/>
      <c r="L22" s="246"/>
      <c r="M22" s="250"/>
      <c r="N22" s="246"/>
    </row>
    <row r="23" spans="2:14" ht="15" customHeight="1" x14ac:dyDescent="0.25">
      <c r="B23" s="77" t="s">
        <v>450</v>
      </c>
      <c r="C23" s="245"/>
      <c r="D23" s="246"/>
      <c r="E23" s="246"/>
      <c r="F23" s="246"/>
      <c r="G23" s="247"/>
      <c r="H23" s="248"/>
      <c r="I23" s="249"/>
      <c r="J23" s="246"/>
      <c r="K23" s="250"/>
      <c r="L23" s="246"/>
      <c r="M23" s="250"/>
      <c r="N23" s="246"/>
    </row>
    <row r="24" spans="2:14" ht="15" customHeight="1" x14ac:dyDescent="0.25">
      <c r="B24" s="77" t="s">
        <v>454</v>
      </c>
      <c r="C24" s="245"/>
      <c r="D24" s="246"/>
      <c r="E24" s="246"/>
      <c r="F24" s="246"/>
      <c r="G24" s="247"/>
      <c r="H24" s="248"/>
      <c r="I24" s="249"/>
      <c r="J24" s="246"/>
      <c r="K24" s="250"/>
      <c r="L24" s="246"/>
      <c r="M24" s="250"/>
      <c r="N24" s="246"/>
    </row>
    <row r="25" spans="2:14" ht="15" customHeight="1" x14ac:dyDescent="0.25">
      <c r="B25" s="77" t="s">
        <v>455</v>
      </c>
      <c r="C25" s="245"/>
      <c r="D25" s="246"/>
      <c r="E25" s="246"/>
      <c r="F25" s="246"/>
      <c r="G25" s="247"/>
      <c r="H25" s="248"/>
      <c r="I25" s="249"/>
      <c r="J25" s="246"/>
      <c r="K25" s="250"/>
      <c r="L25" s="246"/>
      <c r="M25" s="250"/>
      <c r="N25" s="246"/>
    </row>
    <row r="26" spans="2:14" ht="15" customHeight="1" x14ac:dyDescent="0.25">
      <c r="B26" s="77" t="s">
        <v>456</v>
      </c>
      <c r="C26" s="245"/>
      <c r="D26" s="246"/>
      <c r="E26" s="246"/>
      <c r="F26" s="246"/>
      <c r="G26" s="247"/>
      <c r="H26" s="248"/>
      <c r="I26" s="249"/>
      <c r="J26" s="246"/>
      <c r="K26" s="250"/>
      <c r="L26" s="246"/>
      <c r="M26" s="250"/>
      <c r="N26" s="246"/>
    </row>
    <row r="27" spans="2:14" ht="15" customHeight="1" x14ac:dyDescent="0.25">
      <c r="B27" s="72" t="s">
        <v>457</v>
      </c>
      <c r="C27" s="251"/>
      <c r="D27" s="252"/>
      <c r="E27" s="252"/>
      <c r="F27" s="252"/>
      <c r="G27" s="253"/>
      <c r="H27" s="254"/>
      <c r="I27" s="255"/>
      <c r="J27" s="252"/>
      <c r="K27" s="256"/>
      <c r="L27" s="252"/>
      <c r="M27" s="256"/>
      <c r="N27" s="252"/>
    </row>
    <row r="28" spans="2:14" ht="15" customHeight="1" x14ac:dyDescent="0.25"/>
    <row r="29" spans="2:14" ht="15" customHeight="1" x14ac:dyDescent="0.25"/>
    <row r="423" ht="15" customHeight="1" x14ac:dyDescent="0.25"/>
  </sheetData>
  <sheetProtection algorithmName="SHA-512" hashValue="LMjb6uRHE/o70ZDJXwEwzm2U/Icbc30chalksHk2nSxVTftHXHEqlgcv8Wq+c+MLgcamTGV9cWExqgFnREc6Mw==" saltValue="5xdi5Rd2Rp6zCB2adL/F/Q==" spinCount="100000" sheet="1" objects="1" scenarios="1" sort="0" autoFilter="0"/>
  <mergeCells count="2">
    <mergeCell ref="C8:I8"/>
    <mergeCell ref="D5:G5"/>
  </mergeCells>
  <hyperlinks>
    <hyperlink ref="C1" location="ÍNDICE!A1" display="BACK TO INDEX" xr:uid="{00000000-0004-0000-0E00-000000000000}"/>
  </hyperlinks>
  <pageMargins left="0.70866141732283472" right="0.70866141732283472" top="0.74803149606299213" bottom="0.74803149606299213" header="0.31496062992125984" footer="0.31496062992125984"/>
  <pageSetup scale="54"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J51"/>
  <sheetViews>
    <sheetView showGridLines="0" zoomScaleNormal="100" workbookViewId="0">
      <pane ySplit="1" topLeftCell="A11" activePane="bottomLeft" state="frozen"/>
      <selection pane="bottomLeft" activeCell="G36" sqref="G36"/>
    </sheetView>
  </sheetViews>
  <sheetFormatPr defaultColWidth="0" defaultRowHeight="15" customHeight="1" zeroHeight="1" x14ac:dyDescent="0.25"/>
  <cols>
    <col min="1" max="1" width="1.140625" style="3" customWidth="1"/>
    <col min="2" max="2" width="33.85546875" style="4" customWidth="1"/>
    <col min="3" max="3" width="21.7109375" style="3" customWidth="1"/>
    <col min="4" max="4" width="22.7109375" style="3" customWidth="1"/>
    <col min="5" max="5" width="12.42578125" style="3" customWidth="1"/>
    <col min="6" max="6" width="29.140625" style="3" customWidth="1"/>
    <col min="7" max="7" width="27.42578125" style="3" customWidth="1"/>
    <col min="8" max="8" width="1.140625" style="3" customWidth="1"/>
    <col min="9" max="16384" width="9.140625" style="3" hidden="1"/>
  </cols>
  <sheetData>
    <row r="1" spans="1:10" ht="21" customHeight="1" x14ac:dyDescent="0.2">
      <c r="A1" s="2"/>
      <c r="B1" s="167" t="s">
        <v>29</v>
      </c>
      <c r="C1" s="2"/>
      <c r="D1" s="2"/>
      <c r="E1" s="2"/>
      <c r="F1" s="2"/>
      <c r="G1" s="2"/>
      <c r="H1" s="2"/>
    </row>
    <row r="2" spans="1:10" ht="15" customHeight="1" x14ac:dyDescent="0.2"/>
    <row r="3" spans="1:10" ht="15" customHeight="1" x14ac:dyDescent="0.25">
      <c r="C3" s="169" t="s">
        <v>37</v>
      </c>
      <c r="D3" s="186">
        <f>IF(COVER!E6&lt;&gt;"",COVER!E6,"")</f>
        <v>2021</v>
      </c>
    </row>
    <row r="4" spans="1:10" ht="15" customHeight="1" x14ac:dyDescent="0.2"/>
    <row r="5" spans="1:10" ht="20.25" customHeight="1" x14ac:dyDescent="0.2">
      <c r="B5" s="5" t="s">
        <v>4</v>
      </c>
      <c r="C5" s="416" t="str">
        <f>IF(COVER!E8&lt;&gt;"",COVER!E8,"")</f>
        <v>POWER BLOX AFRICA, S.A.</v>
      </c>
      <c r="D5" s="430"/>
      <c r="E5" s="461"/>
    </row>
    <row r="6" spans="1:10" ht="15" customHeight="1" x14ac:dyDescent="0.2"/>
    <row r="7" spans="1:10" s="6" customFormat="1" ht="30.75" customHeight="1" x14ac:dyDescent="0.25">
      <c r="B7" s="376" t="s">
        <v>660</v>
      </c>
      <c r="C7" s="404"/>
      <c r="D7" s="404"/>
      <c r="E7" s="404"/>
      <c r="F7" s="404"/>
      <c r="G7" s="404"/>
    </row>
    <row r="8" spans="1:10" ht="15" customHeight="1" x14ac:dyDescent="0.2"/>
    <row r="9" spans="1:10" ht="24.75" customHeight="1" x14ac:dyDescent="0.2">
      <c r="B9" s="457" t="s">
        <v>666</v>
      </c>
      <c r="C9" s="458"/>
      <c r="D9" s="458"/>
      <c r="E9" s="458"/>
      <c r="F9" s="458"/>
      <c r="G9" s="458"/>
    </row>
    <row r="10" spans="1:10" s="6" customFormat="1" ht="42" customHeight="1" x14ac:dyDescent="0.25">
      <c r="B10" s="455" t="s">
        <v>661</v>
      </c>
      <c r="C10" s="456"/>
      <c r="D10" s="163" t="s">
        <v>662</v>
      </c>
      <c r="E10" s="163" t="s">
        <v>663</v>
      </c>
      <c r="F10" s="163" t="s">
        <v>664</v>
      </c>
      <c r="G10" s="162" t="s">
        <v>665</v>
      </c>
    </row>
    <row r="11" spans="1:10" ht="33" customHeight="1" x14ac:dyDescent="0.2">
      <c r="B11" s="452"/>
      <c r="C11" s="453"/>
      <c r="D11" s="268"/>
      <c r="E11" s="269"/>
      <c r="F11" s="270"/>
      <c r="G11" s="271"/>
      <c r="J11" s="11"/>
    </row>
    <row r="12" spans="1:10" ht="33" customHeight="1" x14ac:dyDescent="0.2">
      <c r="B12" s="452"/>
      <c r="C12" s="453"/>
      <c r="D12" s="268"/>
      <c r="E12" s="269"/>
      <c r="F12" s="270"/>
      <c r="G12" s="271"/>
      <c r="J12" s="11"/>
    </row>
    <row r="13" spans="1:10" ht="33" customHeight="1" x14ac:dyDescent="0.2">
      <c r="B13" s="452"/>
      <c r="C13" s="453"/>
      <c r="D13" s="268"/>
      <c r="E13" s="269"/>
      <c r="F13" s="270"/>
      <c r="G13" s="271"/>
      <c r="J13" s="11"/>
    </row>
    <row r="14" spans="1:10" ht="33" customHeight="1" x14ac:dyDescent="0.2">
      <c r="B14" s="452"/>
      <c r="C14" s="453"/>
      <c r="D14" s="268"/>
      <c r="E14" s="269"/>
      <c r="F14" s="270"/>
      <c r="G14" s="271"/>
      <c r="J14" s="11"/>
    </row>
    <row r="15" spans="1:10" ht="33" customHeight="1" x14ac:dyDescent="0.25">
      <c r="B15" s="452"/>
      <c r="C15" s="453"/>
      <c r="D15" s="268"/>
      <c r="E15" s="269"/>
      <c r="F15" s="270"/>
      <c r="G15" s="271"/>
      <c r="J15" s="11"/>
    </row>
    <row r="16" spans="1:10" ht="33" customHeight="1" x14ac:dyDescent="0.25">
      <c r="B16" s="452"/>
      <c r="C16" s="453"/>
      <c r="D16" s="268"/>
      <c r="E16" s="269"/>
      <c r="F16" s="270"/>
      <c r="G16" s="271"/>
      <c r="J16" s="11"/>
    </row>
    <row r="17" spans="2:10" ht="33" customHeight="1" x14ac:dyDescent="0.25">
      <c r="B17" s="452"/>
      <c r="C17" s="453"/>
      <c r="D17" s="268"/>
      <c r="E17" s="269"/>
      <c r="F17" s="270"/>
      <c r="G17" s="271"/>
      <c r="J17" s="11"/>
    </row>
    <row r="18" spans="2:10" ht="33" customHeight="1" x14ac:dyDescent="0.25">
      <c r="B18" s="452"/>
      <c r="C18" s="453"/>
      <c r="D18" s="268"/>
      <c r="E18" s="269"/>
      <c r="F18" s="270"/>
      <c r="G18" s="271"/>
      <c r="J18" s="11"/>
    </row>
    <row r="19" spans="2:10" ht="16.5" customHeight="1" x14ac:dyDescent="0.25"/>
    <row r="20" spans="2:10" ht="24.75" customHeight="1" x14ac:dyDescent="0.25">
      <c r="B20" s="457" t="s">
        <v>667</v>
      </c>
      <c r="C20" s="458"/>
      <c r="D20" s="458"/>
      <c r="E20" s="458"/>
      <c r="F20" s="458"/>
      <c r="G20" s="458"/>
    </row>
    <row r="21" spans="2:10" s="6" customFormat="1" ht="42" customHeight="1" x14ac:dyDescent="0.25">
      <c r="B21" s="455" t="s">
        <v>661</v>
      </c>
      <c r="C21" s="456"/>
      <c r="D21" s="163" t="s">
        <v>662</v>
      </c>
      <c r="E21" s="163" t="s">
        <v>663</v>
      </c>
      <c r="F21" s="163" t="s">
        <v>664</v>
      </c>
      <c r="G21" s="162" t="s">
        <v>665</v>
      </c>
    </row>
    <row r="22" spans="2:10" ht="33" customHeight="1" x14ac:dyDescent="0.25">
      <c r="B22" s="452"/>
      <c r="C22" s="453"/>
      <c r="D22" s="268"/>
      <c r="E22" s="269"/>
      <c r="F22" s="270"/>
      <c r="G22" s="271"/>
      <c r="J22" s="11"/>
    </row>
    <row r="23" spans="2:10" ht="33" customHeight="1" x14ac:dyDescent="0.25">
      <c r="B23" s="452"/>
      <c r="C23" s="453"/>
      <c r="D23" s="268"/>
      <c r="E23" s="269"/>
      <c r="F23" s="270"/>
      <c r="G23" s="271"/>
      <c r="J23" s="11"/>
    </row>
    <row r="24" spans="2:10" ht="33" customHeight="1" x14ac:dyDescent="0.25">
      <c r="B24" s="452"/>
      <c r="C24" s="453"/>
      <c r="D24" s="268"/>
      <c r="E24" s="269"/>
      <c r="F24" s="270"/>
      <c r="G24" s="271"/>
      <c r="J24" s="11"/>
    </row>
    <row r="25" spans="2:10" ht="33" customHeight="1" x14ac:dyDescent="0.25">
      <c r="B25" s="452"/>
      <c r="C25" s="453"/>
      <c r="D25" s="268"/>
      <c r="E25" s="269"/>
      <c r="F25" s="270"/>
      <c r="G25" s="271"/>
      <c r="J25" s="11"/>
    </row>
    <row r="26" spans="2:10" ht="33" customHeight="1" x14ac:dyDescent="0.25">
      <c r="B26" s="452"/>
      <c r="C26" s="453"/>
      <c r="D26" s="268"/>
      <c r="E26" s="269"/>
      <c r="F26" s="270"/>
      <c r="G26" s="271"/>
      <c r="J26" s="11"/>
    </row>
    <row r="27" spans="2:10" ht="16.5" customHeight="1" x14ac:dyDescent="0.25"/>
    <row r="28" spans="2:10" ht="24.75" customHeight="1" x14ac:dyDescent="0.25">
      <c r="B28" s="457" t="s">
        <v>668</v>
      </c>
      <c r="C28" s="458"/>
      <c r="D28" s="458"/>
      <c r="E28" s="458"/>
      <c r="F28" s="458"/>
      <c r="G28" s="458"/>
    </row>
    <row r="29" spans="2:10" s="6" customFormat="1" ht="42" customHeight="1" x14ac:dyDescent="0.25">
      <c r="B29" s="455" t="s">
        <v>669</v>
      </c>
      <c r="C29" s="456"/>
      <c r="D29" s="163" t="s">
        <v>662</v>
      </c>
      <c r="E29" s="163" t="s">
        <v>663</v>
      </c>
      <c r="F29" s="459" t="s">
        <v>670</v>
      </c>
      <c r="G29" s="460"/>
    </row>
    <row r="30" spans="2:10" ht="33" customHeight="1" x14ac:dyDescent="0.25">
      <c r="B30" s="452"/>
      <c r="C30" s="453"/>
      <c r="D30" s="268"/>
      <c r="E30" s="269"/>
      <c r="F30" s="454"/>
      <c r="G30" s="453"/>
      <c r="J30" s="11"/>
    </row>
    <row r="31" spans="2:10" ht="33" customHeight="1" x14ac:dyDescent="0.25">
      <c r="B31" s="452"/>
      <c r="C31" s="453"/>
      <c r="D31" s="268"/>
      <c r="E31" s="269"/>
      <c r="F31" s="454"/>
      <c r="G31" s="453"/>
      <c r="J31" s="11"/>
    </row>
    <row r="32" spans="2:10" ht="33" customHeight="1" x14ac:dyDescent="0.25">
      <c r="B32" s="452"/>
      <c r="C32" s="453"/>
      <c r="D32" s="268"/>
      <c r="E32" s="269"/>
      <c r="F32" s="454"/>
      <c r="G32" s="453"/>
      <c r="J32" s="11"/>
    </row>
    <row r="33" spans="2:10" ht="33" customHeight="1" x14ac:dyDescent="0.25">
      <c r="B33" s="452"/>
      <c r="C33" s="453"/>
      <c r="D33" s="268"/>
      <c r="E33" s="269"/>
      <c r="F33" s="454"/>
      <c r="G33" s="453"/>
      <c r="J33" s="11"/>
    </row>
    <row r="34" spans="2:10" ht="33" customHeight="1" x14ac:dyDescent="0.25">
      <c r="B34" s="452"/>
      <c r="C34" s="453"/>
      <c r="D34" s="268"/>
      <c r="E34" s="269"/>
      <c r="F34" s="454"/>
      <c r="G34" s="453"/>
      <c r="J34" s="11"/>
    </row>
    <row r="35" spans="2:10" ht="16.5" customHeight="1" x14ac:dyDescent="0.25"/>
    <row r="36" spans="2:10" ht="16.5" customHeight="1" x14ac:dyDescent="0.25"/>
    <row r="37" spans="2:10" ht="16.5" customHeight="1" x14ac:dyDescent="0.25"/>
    <row r="38" spans="2:10" ht="16.5" customHeight="1" x14ac:dyDescent="0.25"/>
    <row r="39" spans="2:10" ht="16.5" hidden="1" customHeight="1" x14ac:dyDescent="0.2"/>
    <row r="40" spans="2:10" ht="16.5" hidden="1" customHeight="1" x14ac:dyDescent="0.2"/>
    <row r="41" spans="2:10" ht="16.5" hidden="1" customHeight="1" x14ac:dyDescent="0.2"/>
    <row r="42" spans="2:10" ht="16.5" hidden="1" customHeight="1" x14ac:dyDescent="0.2"/>
    <row r="43" spans="2:10" ht="16.5" hidden="1" customHeight="1" x14ac:dyDescent="0.2"/>
    <row r="44" spans="2:10" ht="16.5" hidden="1" customHeight="1" x14ac:dyDescent="0.2"/>
    <row r="45" spans="2:10" ht="16.5" hidden="1" customHeight="1" x14ac:dyDescent="0.2"/>
    <row r="46" spans="2:10" ht="16.5" hidden="1" customHeight="1" x14ac:dyDescent="0.2"/>
    <row r="47" spans="2:10" ht="16.5" hidden="1" customHeight="1" x14ac:dyDescent="0.2"/>
    <row r="48" spans="2:10" ht="16.5" hidden="1" customHeight="1" x14ac:dyDescent="0.2"/>
    <row r="49" ht="16.5" hidden="1" customHeight="1" x14ac:dyDescent="0.2"/>
    <row r="50" ht="16.5" hidden="1" customHeight="1" x14ac:dyDescent="0.2"/>
    <row r="51" ht="16.5" hidden="1" customHeight="1" x14ac:dyDescent="0.2"/>
  </sheetData>
  <sheetProtection algorithmName="SHA-512" hashValue="a0wfcCW7cDAHk0Vu46Nv3eMYUeY1vVhhMI24J9swku1w5/d7tA/PoalPVAOSTVQoeDhXYYIOvMkWvDZhZDzQOQ==" saltValue="nt5o5OJtxO3fT5mzctCZsg==" spinCount="100000" sheet="1" objects="1" scenarios="1" sort="0" autoFilter="0"/>
  <mergeCells count="32">
    <mergeCell ref="C5:E5"/>
    <mergeCell ref="B7:G7"/>
    <mergeCell ref="B9:G9"/>
    <mergeCell ref="B11:C11"/>
    <mergeCell ref="B12:C12"/>
    <mergeCell ref="B10:C10"/>
    <mergeCell ref="B13:C13"/>
    <mergeCell ref="B14:C14"/>
    <mergeCell ref="B25:C25"/>
    <mergeCell ref="B26:C26"/>
    <mergeCell ref="B29:C29"/>
    <mergeCell ref="B28:G28"/>
    <mergeCell ref="B15:C15"/>
    <mergeCell ref="B16:C16"/>
    <mergeCell ref="B17:C17"/>
    <mergeCell ref="B18:C18"/>
    <mergeCell ref="B20:G20"/>
    <mergeCell ref="B21:C21"/>
    <mergeCell ref="B22:C22"/>
    <mergeCell ref="B23:C23"/>
    <mergeCell ref="B24:C24"/>
    <mergeCell ref="F29:G29"/>
    <mergeCell ref="F30:G30"/>
    <mergeCell ref="F31:G31"/>
    <mergeCell ref="F32:G32"/>
    <mergeCell ref="F33:G33"/>
    <mergeCell ref="F34:G34"/>
    <mergeCell ref="B30:C30"/>
    <mergeCell ref="B31:C31"/>
    <mergeCell ref="B32:C32"/>
    <mergeCell ref="B33:C33"/>
    <mergeCell ref="B34:C34"/>
  </mergeCells>
  <hyperlinks>
    <hyperlink ref="B1" location="ÍNDICE!A1" display="BACK TO INDEX" xr:uid="{00000000-0004-0000-0F00-000000000000}"/>
  </hyperlinks>
  <pageMargins left="0.70866141732283472" right="0.70866141732283472" top="0.74803149606299213" bottom="0.74803149606299213" header="0.31496062992125984" footer="0.31496062992125984"/>
  <pageSetup scale="6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53"/>
  <sheetViews>
    <sheetView showGridLines="0" zoomScaleNormal="100" workbookViewId="0">
      <pane ySplit="1" topLeftCell="A31" activePane="bottomLeft" state="frozen"/>
      <selection activeCell="B1" sqref="B1:C1"/>
      <selection pane="bottomLeft" activeCell="H52" sqref="H52"/>
    </sheetView>
  </sheetViews>
  <sheetFormatPr defaultColWidth="0" defaultRowHeight="15" customHeight="1" zeroHeight="1" x14ac:dyDescent="0.25"/>
  <cols>
    <col min="1" max="1" width="1.140625" style="3" customWidth="1"/>
    <col min="2" max="2" width="36" style="4" customWidth="1"/>
    <col min="3" max="3" width="8.42578125" style="4" customWidth="1"/>
    <col min="4" max="8" width="18.85546875" style="3" customWidth="1"/>
    <col min="9" max="9" width="0.85546875" style="3" customWidth="1"/>
    <col min="10" max="16384" width="17" style="3" hidden="1"/>
  </cols>
  <sheetData>
    <row r="1" spans="1:9" ht="21" customHeight="1" x14ac:dyDescent="0.2">
      <c r="A1" s="2"/>
      <c r="B1" s="167" t="s">
        <v>29</v>
      </c>
      <c r="C1" s="2"/>
      <c r="D1" s="2"/>
      <c r="E1" s="2"/>
      <c r="F1" s="2"/>
      <c r="G1" s="2"/>
      <c r="H1" s="2"/>
      <c r="I1" s="56"/>
    </row>
    <row r="2" spans="1:9" ht="15" customHeight="1" x14ac:dyDescent="0.2"/>
    <row r="3" spans="1:9" ht="15" customHeight="1" x14ac:dyDescent="0.25">
      <c r="E3" s="12" t="s">
        <v>37</v>
      </c>
      <c r="F3" s="186">
        <f>IF(COVER!E6&lt;&gt;"",COVER!E6,"")</f>
        <v>2021</v>
      </c>
    </row>
    <row r="4" spans="1:9" ht="15" customHeight="1" x14ac:dyDescent="0.2"/>
    <row r="5" spans="1:9" ht="20.25" customHeight="1" x14ac:dyDescent="0.2">
      <c r="B5" s="166" t="s">
        <v>4</v>
      </c>
      <c r="C5" s="373" t="str">
        <f>IF(COVER!E8&lt;&gt;"",COVER!E8,"")</f>
        <v>POWER BLOX AFRICA, S.A.</v>
      </c>
      <c r="D5" s="374"/>
      <c r="E5" s="374"/>
      <c r="F5" s="437"/>
    </row>
    <row r="6" spans="1:9" ht="15" customHeight="1" x14ac:dyDescent="0.2"/>
    <row r="7" spans="1:9" ht="15" customHeight="1" x14ac:dyDescent="0.2"/>
    <row r="8" spans="1:9" s="6" customFormat="1" ht="30.75" customHeight="1" x14ac:dyDescent="0.2">
      <c r="B8" s="376" t="s">
        <v>672</v>
      </c>
      <c r="C8" s="376"/>
      <c r="D8" s="377"/>
      <c r="E8" s="377"/>
      <c r="F8" s="377"/>
      <c r="G8" s="377"/>
      <c r="H8" s="377"/>
    </row>
    <row r="9" spans="1:9" ht="15" customHeight="1" x14ac:dyDescent="0.2">
      <c r="G9" s="122" t="s">
        <v>432</v>
      </c>
      <c r="H9" s="153" t="str">
        <f>IF(COVER!$K$6&lt;&gt;"",CONCATENATE("milhares ",COVER!$K$6),"")</f>
        <v>milhares MZN</v>
      </c>
    </row>
    <row r="10" spans="1:9" s="31" customFormat="1" ht="31.5" customHeight="1" x14ac:dyDescent="0.2">
      <c r="B10" s="462" t="s">
        <v>674</v>
      </c>
      <c r="C10" s="463"/>
      <c r="D10" s="164">
        <f>IF(E10&lt;&gt;"",E10-1,"")</f>
        <v>2017</v>
      </c>
      <c r="E10" s="164">
        <f>IF(F10&lt;&gt;"",F10-1,"")</f>
        <v>2018</v>
      </c>
      <c r="F10" s="164">
        <f>IF(G10&lt;&gt;"",G10-1,"")</f>
        <v>2019</v>
      </c>
      <c r="G10" s="164">
        <f>IF(H10&lt;&gt;"",H10-1,"")</f>
        <v>2020</v>
      </c>
      <c r="H10" s="165">
        <f>$F$3</f>
        <v>2021</v>
      </c>
    </row>
    <row r="11" spans="1:9" ht="15" customHeight="1" x14ac:dyDescent="0.2"/>
    <row r="12" spans="1:9" ht="23.25" customHeight="1" x14ac:dyDescent="0.2">
      <c r="B12" s="468" t="s">
        <v>30</v>
      </c>
      <c r="C12" s="469"/>
      <c r="D12" s="211">
        <f>SUM(D13:D20)</f>
        <v>0</v>
      </c>
      <c r="E12" s="211">
        <f t="shared" ref="E12:H12" si="0">SUM(E13:E20)</f>
        <v>0</v>
      </c>
      <c r="F12" s="211">
        <f t="shared" si="0"/>
        <v>0</v>
      </c>
      <c r="G12" s="211">
        <f t="shared" si="0"/>
        <v>0</v>
      </c>
      <c r="H12" s="112">
        <f t="shared" si="0"/>
        <v>0</v>
      </c>
    </row>
    <row r="13" spans="1:9" ht="15" customHeight="1" x14ac:dyDescent="0.2">
      <c r="B13" s="470"/>
      <c r="C13" s="471"/>
      <c r="D13" s="205"/>
      <c r="E13" s="205"/>
      <c r="F13" s="205"/>
      <c r="G13" s="205"/>
      <c r="H13" s="206"/>
    </row>
    <row r="14" spans="1:9" ht="15" customHeight="1" x14ac:dyDescent="0.2">
      <c r="B14" s="464"/>
      <c r="C14" s="465"/>
      <c r="D14" s="207"/>
      <c r="E14" s="207"/>
      <c r="F14" s="207"/>
      <c r="G14" s="207"/>
      <c r="H14" s="208"/>
    </row>
    <row r="15" spans="1:9" ht="15" customHeight="1" x14ac:dyDescent="0.2">
      <c r="B15" s="464"/>
      <c r="C15" s="465"/>
      <c r="D15" s="205"/>
      <c r="E15" s="205"/>
      <c r="F15" s="205"/>
      <c r="G15" s="205"/>
      <c r="H15" s="206"/>
    </row>
    <row r="16" spans="1:9" ht="15" customHeight="1" x14ac:dyDescent="0.2">
      <c r="B16" s="464"/>
      <c r="C16" s="465"/>
      <c r="D16" s="207"/>
      <c r="E16" s="207"/>
      <c r="F16" s="207"/>
      <c r="G16" s="207"/>
      <c r="H16" s="208"/>
    </row>
    <row r="17" spans="2:8" ht="15" customHeight="1" x14ac:dyDescent="0.2">
      <c r="B17" s="464"/>
      <c r="C17" s="465"/>
      <c r="D17" s="205"/>
      <c r="E17" s="205"/>
      <c r="F17" s="205"/>
      <c r="G17" s="205"/>
      <c r="H17" s="206"/>
    </row>
    <row r="18" spans="2:8" ht="15" customHeight="1" x14ac:dyDescent="0.2">
      <c r="B18" s="464"/>
      <c r="C18" s="465"/>
      <c r="D18" s="207"/>
      <c r="E18" s="207"/>
      <c r="F18" s="207"/>
      <c r="G18" s="207"/>
      <c r="H18" s="208"/>
    </row>
    <row r="19" spans="2:8" ht="15" customHeight="1" x14ac:dyDescent="0.2">
      <c r="B19" s="464"/>
      <c r="C19" s="465"/>
      <c r="D19" s="205"/>
      <c r="E19" s="205"/>
      <c r="F19" s="205"/>
      <c r="G19" s="205"/>
      <c r="H19" s="206"/>
    </row>
    <row r="20" spans="2:8" ht="15" customHeight="1" x14ac:dyDescent="0.2">
      <c r="B20" s="466"/>
      <c r="C20" s="467"/>
      <c r="D20" s="259"/>
      <c r="E20" s="259"/>
      <c r="F20" s="259"/>
      <c r="G20" s="259"/>
      <c r="H20" s="260"/>
    </row>
    <row r="21" spans="2:8" ht="15" customHeight="1" x14ac:dyDescent="0.2"/>
    <row r="22" spans="2:8" ht="15" customHeight="1" x14ac:dyDescent="0.2"/>
    <row r="23" spans="2:8" ht="15" customHeight="1" x14ac:dyDescent="0.2"/>
    <row r="24" spans="2:8" ht="15" customHeight="1" x14ac:dyDescent="0.2"/>
    <row r="25" spans="2:8" ht="15" customHeight="1" x14ac:dyDescent="0.2"/>
    <row r="26" spans="2:8" ht="15" customHeight="1" x14ac:dyDescent="0.2"/>
    <row r="27" spans="2:8" ht="15" customHeight="1" x14ac:dyDescent="0.2"/>
    <row r="28" spans="2:8" ht="15" customHeight="1" x14ac:dyDescent="0.2"/>
    <row r="29" spans="2:8" ht="15" customHeight="1" x14ac:dyDescent="0.2"/>
    <row r="30" spans="2:8" ht="15" customHeight="1" x14ac:dyDescent="0.2"/>
    <row r="31" spans="2:8" ht="15" customHeight="1" x14ac:dyDescent="0.2"/>
    <row r="32" spans="2:8" ht="15" customHeight="1" x14ac:dyDescent="0.2"/>
    <row r="33" spans="2:8" ht="15" customHeight="1" x14ac:dyDescent="0.2"/>
    <row r="34" spans="2:8" ht="15" customHeight="1" x14ac:dyDescent="0.2"/>
    <row r="35" spans="2:8" ht="15" customHeight="1" x14ac:dyDescent="0.2"/>
    <row r="36" spans="2:8" ht="15" customHeight="1" x14ac:dyDescent="0.2"/>
    <row r="37" spans="2:8" ht="15" customHeight="1" x14ac:dyDescent="0.2"/>
    <row r="38" spans="2:8" ht="15" customHeight="1" x14ac:dyDescent="0.2"/>
    <row r="39" spans="2:8" s="31" customFormat="1" ht="31.5" customHeight="1" x14ac:dyDescent="0.25">
      <c r="B39" s="462" t="s">
        <v>673</v>
      </c>
      <c r="C39" s="463"/>
      <c r="D39" s="164">
        <f>IF(E39&lt;&gt;"",E39-1,"")</f>
        <v>2017</v>
      </c>
      <c r="E39" s="164">
        <f>IF(F39&lt;&gt;"",F39-1,"")</f>
        <v>2018</v>
      </c>
      <c r="F39" s="164">
        <f>IF(G39&lt;&gt;"",G39-1,"")</f>
        <v>2019</v>
      </c>
      <c r="G39" s="164">
        <f>IF(H39&lt;&gt;"",H39-1,"")</f>
        <v>2020</v>
      </c>
      <c r="H39" s="165">
        <f>$F$3</f>
        <v>2021</v>
      </c>
    </row>
    <row r="40" spans="2:8" ht="15" customHeight="1" x14ac:dyDescent="0.25"/>
    <row r="41" spans="2:8" ht="23.25" customHeight="1" x14ac:dyDescent="0.25">
      <c r="B41" s="168" t="s">
        <v>675</v>
      </c>
      <c r="C41" s="258" t="s">
        <v>663</v>
      </c>
      <c r="D41" s="257"/>
      <c r="E41" s="257"/>
      <c r="F41" s="257"/>
      <c r="G41" s="257"/>
      <c r="H41" s="257"/>
    </row>
    <row r="42" spans="2:8" ht="15" customHeight="1" x14ac:dyDescent="0.25">
      <c r="B42" s="261"/>
      <c r="C42" s="262"/>
      <c r="D42" s="217"/>
      <c r="E42" s="205"/>
      <c r="F42" s="205"/>
      <c r="G42" s="205"/>
      <c r="H42" s="206"/>
    </row>
    <row r="43" spans="2:8" ht="15" customHeight="1" x14ac:dyDescent="0.25">
      <c r="B43" s="263"/>
      <c r="C43" s="264"/>
      <c r="D43" s="218"/>
      <c r="E43" s="207"/>
      <c r="F43" s="207"/>
      <c r="G43" s="207"/>
      <c r="H43" s="208"/>
    </row>
    <row r="44" spans="2:8" ht="15" customHeight="1" x14ac:dyDescent="0.25">
      <c r="B44" s="263"/>
      <c r="C44" s="264"/>
      <c r="D44" s="217"/>
      <c r="E44" s="205"/>
      <c r="F44" s="205"/>
      <c r="G44" s="205"/>
      <c r="H44" s="206"/>
    </row>
    <row r="45" spans="2:8" ht="15" customHeight="1" x14ac:dyDescent="0.25">
      <c r="B45" s="263"/>
      <c r="C45" s="264"/>
      <c r="D45" s="218"/>
      <c r="E45" s="207"/>
      <c r="F45" s="207"/>
      <c r="G45" s="207"/>
      <c r="H45" s="208"/>
    </row>
    <row r="46" spans="2:8" ht="15" customHeight="1" x14ac:dyDescent="0.25">
      <c r="B46" s="263"/>
      <c r="C46" s="264"/>
      <c r="D46" s="217"/>
      <c r="E46" s="205"/>
      <c r="F46" s="205"/>
      <c r="G46" s="205"/>
      <c r="H46" s="206"/>
    </row>
    <row r="47" spans="2:8" ht="15" customHeight="1" x14ac:dyDescent="0.25">
      <c r="B47" s="263"/>
      <c r="C47" s="264"/>
      <c r="D47" s="218"/>
      <c r="E47" s="207"/>
      <c r="F47" s="207"/>
      <c r="G47" s="207"/>
      <c r="H47" s="208"/>
    </row>
    <row r="48" spans="2:8" ht="15" customHeight="1" x14ac:dyDescent="0.25">
      <c r="B48" s="263"/>
      <c r="C48" s="264"/>
      <c r="D48" s="217"/>
      <c r="E48" s="205"/>
      <c r="F48" s="205"/>
      <c r="G48" s="205"/>
      <c r="H48" s="206"/>
    </row>
    <row r="49" spans="2:8" ht="15" customHeight="1" x14ac:dyDescent="0.25">
      <c r="B49" s="265"/>
      <c r="C49" s="266"/>
      <c r="D49" s="267"/>
      <c r="E49" s="259"/>
      <c r="F49" s="259"/>
      <c r="G49" s="259"/>
      <c r="H49" s="260"/>
    </row>
    <row r="50" spans="2:8" ht="15" customHeight="1" x14ac:dyDescent="0.25"/>
    <row r="51" spans="2:8" ht="15" customHeight="1" x14ac:dyDescent="0.25"/>
    <row r="52" spans="2:8" ht="15" customHeight="1" x14ac:dyDescent="0.25"/>
    <row r="53" spans="2:8" ht="15" customHeight="1" x14ac:dyDescent="0.25"/>
  </sheetData>
  <sheetProtection algorithmName="SHA-512" hashValue="pPkTP0m6XudeHuwNtiKxfdQYgPAUEr92Wzcsu91XR+NELQwbczkloKMiP2Sac9/hXGwrjn+/hTKXcJg1evuF4Q==" saltValue="sXAgBMg2VQaB2lCtY3MEmw==" spinCount="100000" sheet="1" objects="1" scenarios="1" sort="0" autoFilter="0"/>
  <mergeCells count="13">
    <mergeCell ref="C5:F5"/>
    <mergeCell ref="B39:C39"/>
    <mergeCell ref="B15:C15"/>
    <mergeCell ref="B16:C16"/>
    <mergeCell ref="B17:C17"/>
    <mergeCell ref="B18:C18"/>
    <mergeCell ref="B19:C19"/>
    <mergeCell ref="B20:C20"/>
    <mergeCell ref="B8:H8"/>
    <mergeCell ref="B10:C10"/>
    <mergeCell ref="B12:C12"/>
    <mergeCell ref="B13:C13"/>
    <mergeCell ref="B14:C14"/>
  </mergeCells>
  <hyperlinks>
    <hyperlink ref="B1" location="ÍNDICE!A1" display="BACK TO INDEX" xr:uid="{00000000-0004-0000-1000-000000000000}"/>
  </hyperlinks>
  <pageMargins left="0.7" right="0.7" top="0.75" bottom="0.75" header="0.3" footer="0.3"/>
  <pageSetup scale="53" orientation="portrait" r:id="rId1"/>
  <colBreaks count="1" manualBreakCount="1">
    <brk id="9" min="1" max="52"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43"/>
  <sheetViews>
    <sheetView showGridLines="0" zoomScaleNormal="100" workbookViewId="0">
      <pane ySplit="1" topLeftCell="A2" activePane="bottomLeft" state="frozen"/>
      <selection activeCell="B1" sqref="B1:C1"/>
      <selection pane="bottomLeft" activeCell="H42" sqref="H42"/>
    </sheetView>
  </sheetViews>
  <sheetFormatPr defaultColWidth="0" defaultRowHeight="15" customHeight="1" zeroHeight="1" x14ac:dyDescent="0.25"/>
  <cols>
    <col min="1" max="1" width="1.140625" style="3" customWidth="1"/>
    <col min="2" max="2" width="36" style="4" customWidth="1"/>
    <col min="3" max="3" width="7.42578125" style="4" customWidth="1"/>
    <col min="4" max="8" width="18.85546875" style="3" customWidth="1"/>
    <col min="9" max="9" width="0.85546875" style="3" customWidth="1"/>
    <col min="10" max="16384" width="17" style="3" hidden="1"/>
  </cols>
  <sheetData>
    <row r="1" spans="1:9" ht="21" customHeight="1" x14ac:dyDescent="0.2">
      <c r="A1" s="2"/>
      <c r="B1" s="167" t="s">
        <v>29</v>
      </c>
      <c r="C1" s="2"/>
      <c r="D1" s="2"/>
      <c r="E1" s="2"/>
      <c r="F1" s="2"/>
      <c r="G1" s="2"/>
      <c r="H1" s="2"/>
      <c r="I1" s="56"/>
    </row>
    <row r="2" spans="1:9" ht="15" customHeight="1" x14ac:dyDescent="0.2"/>
    <row r="3" spans="1:9" ht="15" customHeight="1" x14ac:dyDescent="0.25">
      <c r="E3" s="12" t="s">
        <v>37</v>
      </c>
      <c r="F3" s="186">
        <f>IF(COVER!E6&lt;&gt;"",COVER!E6,"")</f>
        <v>2021</v>
      </c>
    </row>
    <row r="4" spans="1:9" ht="15" customHeight="1" x14ac:dyDescent="0.2"/>
    <row r="5" spans="1:9" ht="20.25" customHeight="1" x14ac:dyDescent="0.2">
      <c r="B5" s="166" t="s">
        <v>4</v>
      </c>
      <c r="C5" s="373" t="str">
        <f>IF(COVER!E8&lt;&gt;"",COVER!E8,"")</f>
        <v>POWER BLOX AFRICA, S.A.</v>
      </c>
      <c r="D5" s="374"/>
      <c r="E5" s="374"/>
      <c r="F5" s="437"/>
    </row>
    <row r="6" spans="1:9" ht="15" customHeight="1" x14ac:dyDescent="0.2"/>
    <row r="7" spans="1:9" ht="15" customHeight="1" x14ac:dyDescent="0.2"/>
    <row r="8" spans="1:9" s="6" customFormat="1" ht="30.75" customHeight="1" x14ac:dyDescent="0.25">
      <c r="B8" s="376" t="s">
        <v>677</v>
      </c>
      <c r="C8" s="376"/>
      <c r="D8" s="377"/>
      <c r="E8" s="377"/>
      <c r="F8" s="377"/>
      <c r="G8" s="377"/>
      <c r="H8" s="377"/>
    </row>
    <row r="9" spans="1:9" ht="15" customHeight="1" x14ac:dyDescent="0.25">
      <c r="G9" s="122" t="s">
        <v>432</v>
      </c>
      <c r="H9" s="153" t="str">
        <f>IF(COVER!$K$6&lt;&gt;"",CONCATENATE("milhares ",COVER!$K$6),"")</f>
        <v>milhares MZN</v>
      </c>
    </row>
    <row r="10" spans="1:9" s="31" customFormat="1" ht="31.5" customHeight="1" x14ac:dyDescent="0.25">
      <c r="B10" s="4"/>
      <c r="C10" s="4"/>
      <c r="D10" s="164">
        <f>IF(E10&lt;&gt;"",E10-1,"")</f>
        <v>2017</v>
      </c>
      <c r="E10" s="164">
        <f>IF(F10&lt;&gt;"",F10-1,"")</f>
        <v>2018</v>
      </c>
      <c r="F10" s="164">
        <f>IF(G10&lt;&gt;"",G10-1,"")</f>
        <v>2019</v>
      </c>
      <c r="G10" s="164">
        <f>IF(H10&lt;&gt;"",H10-1,"")</f>
        <v>2020</v>
      </c>
      <c r="H10" s="165">
        <f>$F$3</f>
        <v>2021</v>
      </c>
    </row>
    <row r="11" spans="1:9" ht="15" customHeight="1" x14ac:dyDescent="0.25"/>
    <row r="12" spans="1:9" ht="23.25" customHeight="1" x14ac:dyDescent="0.25">
      <c r="B12" s="468" t="s">
        <v>678</v>
      </c>
      <c r="C12" s="469"/>
      <c r="D12" s="89">
        <f>SUM(D13:D23)</f>
        <v>0</v>
      </c>
      <c r="E12" s="89">
        <f t="shared" ref="E12:H12" si="0">SUM(E13:E23)</f>
        <v>0</v>
      </c>
      <c r="F12" s="89">
        <f t="shared" si="0"/>
        <v>0</v>
      </c>
      <c r="G12" s="89">
        <f t="shared" si="0"/>
        <v>0</v>
      </c>
      <c r="H12" s="112">
        <f t="shared" si="0"/>
        <v>0</v>
      </c>
    </row>
    <row r="13" spans="1:9" ht="15" customHeight="1" x14ac:dyDescent="0.25">
      <c r="B13" s="472" t="s">
        <v>679</v>
      </c>
      <c r="C13" s="473"/>
      <c r="D13" s="205"/>
      <c r="E13" s="205"/>
      <c r="F13" s="205"/>
      <c r="G13" s="205"/>
      <c r="H13" s="206"/>
    </row>
    <row r="14" spans="1:9" ht="15" customHeight="1" x14ac:dyDescent="0.25">
      <c r="B14" s="474" t="s">
        <v>680</v>
      </c>
      <c r="C14" s="463"/>
      <c r="D14" s="207"/>
      <c r="E14" s="207"/>
      <c r="F14" s="207"/>
      <c r="G14" s="207"/>
      <c r="H14" s="208"/>
    </row>
    <row r="15" spans="1:9" ht="15" customHeight="1" x14ac:dyDescent="0.25">
      <c r="B15" s="474" t="s">
        <v>681</v>
      </c>
      <c r="C15" s="463"/>
      <c r="D15" s="205"/>
      <c r="E15" s="205"/>
      <c r="F15" s="205"/>
      <c r="G15" s="205"/>
      <c r="H15" s="206"/>
    </row>
    <row r="16" spans="1:9" ht="15" customHeight="1" x14ac:dyDescent="0.25">
      <c r="B16" s="474" t="s">
        <v>682</v>
      </c>
      <c r="C16" s="463"/>
      <c r="D16" s="207"/>
      <c r="E16" s="207"/>
      <c r="F16" s="207"/>
      <c r="G16" s="207"/>
      <c r="H16" s="208"/>
    </row>
    <row r="17" spans="2:8" ht="15" customHeight="1" x14ac:dyDescent="0.25">
      <c r="B17" s="474" t="s">
        <v>683</v>
      </c>
      <c r="C17" s="463"/>
      <c r="D17" s="205"/>
      <c r="E17" s="205"/>
      <c r="F17" s="205"/>
      <c r="G17" s="205"/>
      <c r="H17" s="206"/>
    </row>
    <row r="18" spans="2:8" ht="15" customHeight="1" x14ac:dyDescent="0.25">
      <c r="B18" s="474" t="s">
        <v>685</v>
      </c>
      <c r="C18" s="463"/>
      <c r="D18" s="207"/>
      <c r="E18" s="207"/>
      <c r="F18" s="207"/>
      <c r="G18" s="207"/>
      <c r="H18" s="208"/>
    </row>
    <row r="19" spans="2:8" ht="15" customHeight="1" x14ac:dyDescent="0.25">
      <c r="B19" s="474" t="s">
        <v>684</v>
      </c>
      <c r="C19" s="463"/>
      <c r="D19" s="205"/>
      <c r="E19" s="205"/>
      <c r="F19" s="205"/>
      <c r="G19" s="205"/>
      <c r="H19" s="206"/>
    </row>
    <row r="20" spans="2:8" ht="15" customHeight="1" x14ac:dyDescent="0.25">
      <c r="B20" s="464"/>
      <c r="C20" s="465"/>
      <c r="D20" s="205"/>
      <c r="E20" s="205"/>
      <c r="F20" s="205"/>
      <c r="G20" s="205"/>
      <c r="H20" s="206"/>
    </row>
    <row r="21" spans="2:8" ht="15" customHeight="1" x14ac:dyDescent="0.25">
      <c r="B21" s="464"/>
      <c r="C21" s="465"/>
      <c r="D21" s="205"/>
      <c r="E21" s="205"/>
      <c r="F21" s="205"/>
      <c r="G21" s="205"/>
      <c r="H21" s="206"/>
    </row>
    <row r="22" spans="2:8" ht="15" customHeight="1" x14ac:dyDescent="0.25">
      <c r="B22" s="464"/>
      <c r="C22" s="465"/>
      <c r="D22" s="205"/>
      <c r="E22" s="205"/>
      <c r="F22" s="205"/>
      <c r="G22" s="205"/>
      <c r="H22" s="206"/>
    </row>
    <row r="23" spans="2:8" ht="15" customHeight="1" x14ac:dyDescent="0.25">
      <c r="B23" s="466"/>
      <c r="C23" s="467"/>
      <c r="D23" s="259"/>
      <c r="E23" s="259"/>
      <c r="F23" s="259"/>
      <c r="G23" s="259"/>
      <c r="H23" s="260"/>
    </row>
    <row r="24" spans="2:8" ht="15" customHeight="1" x14ac:dyDescent="0.25"/>
    <row r="25" spans="2:8" ht="15" customHeight="1" x14ac:dyDescent="0.25"/>
    <row r="26" spans="2:8" ht="15" customHeight="1" x14ac:dyDescent="0.25"/>
    <row r="27" spans="2:8" ht="15" customHeight="1" x14ac:dyDescent="0.25"/>
    <row r="28" spans="2:8" ht="15" customHeight="1" x14ac:dyDescent="0.25"/>
    <row r="29" spans="2:8" ht="15" customHeight="1" x14ac:dyDescent="0.25"/>
    <row r="30" spans="2:8" ht="15" customHeight="1" x14ac:dyDescent="0.25"/>
    <row r="31" spans="2:8" ht="15" customHeight="1" x14ac:dyDescent="0.25"/>
    <row r="32" spans="2:8"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sheetData>
  <sheetProtection algorithmName="SHA-512" hashValue="nZbM+6YiQS7b65xWYg2TCfzxwH1rx11P94IAqAFEIoQEtdpimr3t5hYisjee8IOPL155TY0PqrLQGOhJiWjubA==" saltValue="3VKz9HS9Z6R9uFnJZPFq2Q==" spinCount="100000" sheet="1" objects="1" scenarios="1" sort="0" autoFilter="0"/>
  <mergeCells count="14">
    <mergeCell ref="C5:F5"/>
    <mergeCell ref="B8:H8"/>
    <mergeCell ref="B12:C12"/>
    <mergeCell ref="B13:C13"/>
    <mergeCell ref="B23:C23"/>
    <mergeCell ref="B20:C20"/>
    <mergeCell ref="B21:C21"/>
    <mergeCell ref="B22:C22"/>
    <mergeCell ref="B14:C14"/>
    <mergeCell ref="B15:C15"/>
    <mergeCell ref="B16:C16"/>
    <mergeCell ref="B17:C17"/>
    <mergeCell ref="B18:C18"/>
    <mergeCell ref="B19:C19"/>
  </mergeCells>
  <hyperlinks>
    <hyperlink ref="B1" location="ÍNDICE!A1" display="BACK TO INDEX" xr:uid="{00000000-0004-0000-1100-000000000000}"/>
  </hyperlinks>
  <pageMargins left="0.7" right="0.7" top="0.75" bottom="0.75" header="0.3" footer="0.3"/>
  <pageSetup scale="53" orientation="portrait" r:id="rId1"/>
  <colBreaks count="1" manualBreakCount="1">
    <brk id="9" min="1" max="52" man="1"/>
  </col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V37"/>
  <sheetViews>
    <sheetView showGridLines="0" zoomScaleNormal="100" workbookViewId="0">
      <pane ySplit="1" topLeftCell="A2" activePane="bottomLeft" state="frozen"/>
      <selection activeCell="B1" sqref="B1:C1"/>
      <selection pane="bottomLeft" activeCell="AU36" sqref="AU36"/>
    </sheetView>
  </sheetViews>
  <sheetFormatPr defaultColWidth="0" defaultRowHeight="15" customHeight="1" zeroHeight="1" x14ac:dyDescent="0.25"/>
  <cols>
    <col min="1" max="1" width="1.140625" style="3" customWidth="1"/>
    <col min="2" max="2" width="10.85546875" style="4" hidden="1" customWidth="1"/>
    <col min="3" max="3" width="29.140625" style="4" customWidth="1"/>
    <col min="4" max="4" width="31.85546875" style="3" customWidth="1"/>
    <col min="5" max="5" width="21.140625" style="3" customWidth="1"/>
    <col min="6" max="6" width="1.140625" style="3" customWidth="1"/>
    <col min="7" max="7" width="8.42578125" style="38" customWidth="1"/>
    <col min="8" max="8" width="1.140625" style="3" customWidth="1"/>
    <col min="9" max="9" width="15.7109375" style="3" customWidth="1"/>
    <col min="10" max="13" width="14.42578125" style="3" customWidth="1"/>
    <col min="14" max="15" width="16.85546875" style="3" customWidth="1"/>
    <col min="16" max="16" width="1.140625" style="3" customWidth="1"/>
    <col min="17" max="17" width="15.7109375" style="3" customWidth="1"/>
    <col min="18" max="21" width="14.42578125" style="3" customWidth="1"/>
    <col min="22" max="23" width="16.85546875" style="3" customWidth="1"/>
    <col min="24" max="24" width="1.140625" style="3" customWidth="1"/>
    <col min="25" max="25" width="15.7109375" style="3" customWidth="1"/>
    <col min="26" max="29" width="14.42578125" style="3" customWidth="1"/>
    <col min="30" max="31" width="16.85546875" style="3" customWidth="1"/>
    <col min="32" max="32" width="1.140625" style="3" customWidth="1"/>
    <col min="33" max="33" width="15.7109375" style="3" customWidth="1"/>
    <col min="34" max="37" width="14.42578125" style="3" customWidth="1"/>
    <col min="38" max="39" width="16.85546875" style="3" customWidth="1"/>
    <col min="40" max="40" width="1.140625" style="3" customWidth="1"/>
    <col min="41" max="41" width="15.7109375" style="3" customWidth="1"/>
    <col min="42" max="45" width="14.42578125" style="3" customWidth="1"/>
    <col min="46" max="47" width="16.85546875" style="3" customWidth="1"/>
    <col min="48" max="48" width="2" style="3" customWidth="1"/>
    <col min="49" max="16384" width="8.42578125" style="3" hidden="1"/>
  </cols>
  <sheetData>
    <row r="1" spans="1:47" ht="21" customHeight="1" x14ac:dyDescent="0.2">
      <c r="A1" s="2"/>
      <c r="C1" s="167" t="s">
        <v>29</v>
      </c>
      <c r="D1" s="2"/>
      <c r="E1" s="2"/>
      <c r="F1" s="2"/>
      <c r="G1" s="130"/>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row>
    <row r="2" spans="1:47" ht="15" customHeight="1" x14ac:dyDescent="0.2"/>
    <row r="3" spans="1:47" ht="15" customHeight="1" x14ac:dyDescent="0.25">
      <c r="D3" s="12" t="s">
        <v>37</v>
      </c>
      <c r="E3" s="186">
        <f>IF(COVER!E6&lt;&gt;"",COVER!E6,"")</f>
        <v>2021</v>
      </c>
    </row>
    <row r="4" spans="1:47" ht="15" customHeight="1" x14ac:dyDescent="0.2"/>
    <row r="5" spans="1:47" ht="20.25" customHeight="1" x14ac:dyDescent="0.2">
      <c r="C5" s="272" t="s">
        <v>4</v>
      </c>
      <c r="D5" s="475" t="str">
        <f>IF(COVER!E8&lt;&gt;"",COVER!E8,"")</f>
        <v>POWER BLOX AFRICA, S.A.</v>
      </c>
      <c r="E5" s="476"/>
    </row>
    <row r="6" spans="1:47" ht="15" customHeight="1" x14ac:dyDescent="0.2"/>
    <row r="7" spans="1:47" ht="15" customHeight="1" x14ac:dyDescent="0.2"/>
    <row r="8" spans="1:47" s="6" customFormat="1" ht="30.75" customHeight="1" x14ac:dyDescent="0.25">
      <c r="C8" s="376" t="s">
        <v>487</v>
      </c>
      <c r="D8" s="377"/>
      <c r="E8" s="377"/>
      <c r="F8" s="3"/>
      <c r="G8" s="38"/>
      <c r="H8" s="3"/>
      <c r="I8" s="3"/>
      <c r="J8" s="3"/>
      <c r="K8" s="3"/>
      <c r="L8" s="3"/>
      <c r="M8" s="3"/>
      <c r="N8" s="3"/>
      <c r="O8" s="3"/>
    </row>
    <row r="9" spans="1:47" ht="15" customHeight="1" x14ac:dyDescent="0.25"/>
    <row r="10" spans="1:47" s="128" customFormat="1" ht="24" customHeight="1" x14ac:dyDescent="0.25">
      <c r="B10" s="129"/>
      <c r="C10" s="482" t="s">
        <v>498</v>
      </c>
      <c r="D10" s="484" t="s">
        <v>488</v>
      </c>
      <c r="E10" s="486" t="s">
        <v>489</v>
      </c>
      <c r="G10" s="480" t="s">
        <v>52</v>
      </c>
      <c r="I10" s="477">
        <f>$E$3</f>
        <v>2021</v>
      </c>
      <c r="J10" s="478"/>
      <c r="K10" s="478"/>
      <c r="L10" s="478"/>
      <c r="M10" s="478"/>
      <c r="N10" s="478"/>
      <c r="O10" s="479"/>
      <c r="Q10" s="477">
        <f>IF(I10&lt;&gt;"",I10-1,"")</f>
        <v>2020</v>
      </c>
      <c r="R10" s="478"/>
      <c r="S10" s="478"/>
      <c r="T10" s="478"/>
      <c r="U10" s="478"/>
      <c r="V10" s="478"/>
      <c r="W10" s="479"/>
      <c r="Y10" s="477">
        <f>IF(Q10&lt;&gt;"",Q10-1,"")</f>
        <v>2019</v>
      </c>
      <c r="Z10" s="478"/>
      <c r="AA10" s="478"/>
      <c r="AB10" s="478"/>
      <c r="AC10" s="478"/>
      <c r="AD10" s="478"/>
      <c r="AE10" s="479"/>
      <c r="AG10" s="477">
        <f>IF(Y10&lt;&gt;"",Y10-1,"")</f>
        <v>2018</v>
      </c>
      <c r="AH10" s="478"/>
      <c r="AI10" s="478"/>
      <c r="AJ10" s="478"/>
      <c r="AK10" s="478"/>
      <c r="AL10" s="478"/>
      <c r="AM10" s="479"/>
      <c r="AO10" s="477">
        <f>IF(AG10&lt;&gt;"",AG10-1,"")</f>
        <v>2017</v>
      </c>
      <c r="AP10" s="478"/>
      <c r="AQ10" s="478"/>
      <c r="AR10" s="478"/>
      <c r="AS10" s="478"/>
      <c r="AT10" s="478"/>
      <c r="AU10" s="479"/>
    </row>
    <row r="11" spans="1:47" s="31" customFormat="1" ht="58.5" customHeight="1" x14ac:dyDescent="0.25">
      <c r="B11" s="127"/>
      <c r="C11" s="483"/>
      <c r="D11" s="485"/>
      <c r="E11" s="487"/>
      <c r="F11" s="3"/>
      <c r="G11" s="481"/>
      <c r="H11" s="3"/>
      <c r="I11" s="297" t="s">
        <v>490</v>
      </c>
      <c r="J11" s="298" t="s">
        <v>491</v>
      </c>
      <c r="K11" s="298" t="s">
        <v>492</v>
      </c>
      <c r="L11" s="298" t="s">
        <v>496</v>
      </c>
      <c r="M11" s="298" t="s">
        <v>495</v>
      </c>
      <c r="N11" s="298" t="s">
        <v>494</v>
      </c>
      <c r="O11" s="299" t="s">
        <v>493</v>
      </c>
      <c r="P11" s="3"/>
      <c r="Q11" s="297" t="s">
        <v>490</v>
      </c>
      <c r="R11" s="298" t="s">
        <v>491</v>
      </c>
      <c r="S11" s="298" t="s">
        <v>492</v>
      </c>
      <c r="T11" s="298" t="s">
        <v>496</v>
      </c>
      <c r="U11" s="298" t="s">
        <v>495</v>
      </c>
      <c r="V11" s="298" t="s">
        <v>494</v>
      </c>
      <c r="W11" s="299" t="s">
        <v>493</v>
      </c>
      <c r="X11" s="3"/>
      <c r="Y11" s="297" t="s">
        <v>490</v>
      </c>
      <c r="Z11" s="298" t="s">
        <v>491</v>
      </c>
      <c r="AA11" s="298" t="s">
        <v>492</v>
      </c>
      <c r="AB11" s="298" t="s">
        <v>496</v>
      </c>
      <c r="AC11" s="298" t="s">
        <v>495</v>
      </c>
      <c r="AD11" s="298" t="s">
        <v>494</v>
      </c>
      <c r="AE11" s="299" t="s">
        <v>493</v>
      </c>
      <c r="AF11" s="3"/>
      <c r="AG11" s="297" t="s">
        <v>490</v>
      </c>
      <c r="AH11" s="298" t="s">
        <v>491</v>
      </c>
      <c r="AI11" s="298" t="s">
        <v>492</v>
      </c>
      <c r="AJ11" s="298" t="s">
        <v>496</v>
      </c>
      <c r="AK11" s="298" t="s">
        <v>495</v>
      </c>
      <c r="AL11" s="298" t="s">
        <v>494</v>
      </c>
      <c r="AM11" s="299" t="s">
        <v>493</v>
      </c>
      <c r="AN11" s="3"/>
      <c r="AO11" s="297" t="s">
        <v>490</v>
      </c>
      <c r="AP11" s="298" t="s">
        <v>491</v>
      </c>
      <c r="AQ11" s="298" t="s">
        <v>492</v>
      </c>
      <c r="AR11" s="298" t="s">
        <v>496</v>
      </c>
      <c r="AS11" s="298" t="s">
        <v>495</v>
      </c>
      <c r="AT11" s="298" t="s">
        <v>494</v>
      </c>
      <c r="AU11" s="299" t="s">
        <v>493</v>
      </c>
    </row>
    <row r="12" spans="1:47" ht="15" customHeight="1" x14ac:dyDescent="0.25">
      <c r="B12" s="77" t="s">
        <v>439</v>
      </c>
      <c r="C12" s="273"/>
      <c r="D12" s="274"/>
      <c r="E12" s="275"/>
      <c r="G12" s="294"/>
      <c r="I12" s="281"/>
      <c r="J12" s="282"/>
      <c r="K12" s="283"/>
      <c r="L12" s="283"/>
      <c r="M12" s="283"/>
      <c r="N12" s="283"/>
      <c r="O12" s="284"/>
      <c r="Q12" s="281"/>
      <c r="R12" s="282"/>
      <c r="S12" s="283"/>
      <c r="T12" s="283"/>
      <c r="U12" s="283"/>
      <c r="V12" s="283"/>
      <c r="W12" s="284"/>
      <c r="Y12" s="281"/>
      <c r="Z12" s="282"/>
      <c r="AA12" s="283"/>
      <c r="AB12" s="283"/>
      <c r="AC12" s="283"/>
      <c r="AD12" s="283"/>
      <c r="AE12" s="284"/>
      <c r="AG12" s="281"/>
      <c r="AH12" s="282"/>
      <c r="AI12" s="283"/>
      <c r="AJ12" s="283"/>
      <c r="AK12" s="283"/>
      <c r="AL12" s="283"/>
      <c r="AM12" s="284"/>
      <c r="AO12" s="281"/>
      <c r="AP12" s="282"/>
      <c r="AQ12" s="283"/>
      <c r="AR12" s="283"/>
      <c r="AS12" s="283"/>
      <c r="AT12" s="283"/>
      <c r="AU12" s="284"/>
    </row>
    <row r="13" spans="1:47" ht="15" customHeight="1" x14ac:dyDescent="0.25">
      <c r="B13" s="77" t="s">
        <v>440</v>
      </c>
      <c r="C13" s="273"/>
      <c r="D13" s="276"/>
      <c r="E13" s="275"/>
      <c r="G13" s="295"/>
      <c r="I13" s="285"/>
      <c r="J13" s="286"/>
      <c r="K13" s="287"/>
      <c r="L13" s="287"/>
      <c r="M13" s="287"/>
      <c r="N13" s="287"/>
      <c r="O13" s="288"/>
      <c r="Q13" s="285"/>
      <c r="R13" s="286"/>
      <c r="S13" s="287"/>
      <c r="T13" s="287"/>
      <c r="U13" s="287"/>
      <c r="V13" s="287"/>
      <c r="W13" s="288"/>
      <c r="Y13" s="285"/>
      <c r="Z13" s="286"/>
      <c r="AA13" s="287"/>
      <c r="AB13" s="287"/>
      <c r="AC13" s="287"/>
      <c r="AD13" s="287"/>
      <c r="AE13" s="288"/>
      <c r="AG13" s="285"/>
      <c r="AH13" s="286"/>
      <c r="AI13" s="287"/>
      <c r="AJ13" s="287"/>
      <c r="AK13" s="287"/>
      <c r="AL13" s="287"/>
      <c r="AM13" s="288"/>
      <c r="AO13" s="285"/>
      <c r="AP13" s="286"/>
      <c r="AQ13" s="287"/>
      <c r="AR13" s="287"/>
      <c r="AS13" s="287"/>
      <c r="AT13" s="287"/>
      <c r="AU13" s="288"/>
    </row>
    <row r="14" spans="1:47" ht="15" customHeight="1" x14ac:dyDescent="0.25">
      <c r="B14" s="77" t="s">
        <v>441</v>
      </c>
      <c r="C14" s="273"/>
      <c r="D14" s="274"/>
      <c r="E14" s="275"/>
      <c r="G14" s="295"/>
      <c r="I14" s="285"/>
      <c r="J14" s="286"/>
      <c r="K14" s="287"/>
      <c r="L14" s="287"/>
      <c r="M14" s="287"/>
      <c r="N14" s="287"/>
      <c r="O14" s="288"/>
      <c r="Q14" s="285"/>
      <c r="R14" s="286"/>
      <c r="S14" s="287"/>
      <c r="T14" s="287"/>
      <c r="U14" s="287"/>
      <c r="V14" s="287"/>
      <c r="W14" s="288"/>
      <c r="Y14" s="285"/>
      <c r="Z14" s="286"/>
      <c r="AA14" s="287"/>
      <c r="AB14" s="287"/>
      <c r="AC14" s="287"/>
      <c r="AD14" s="287"/>
      <c r="AE14" s="288"/>
      <c r="AG14" s="285"/>
      <c r="AH14" s="286"/>
      <c r="AI14" s="287"/>
      <c r="AJ14" s="287"/>
      <c r="AK14" s="287"/>
      <c r="AL14" s="287"/>
      <c r="AM14" s="288"/>
      <c r="AO14" s="285"/>
      <c r="AP14" s="286"/>
      <c r="AQ14" s="287"/>
      <c r="AR14" s="287"/>
      <c r="AS14" s="287"/>
      <c r="AT14" s="287"/>
      <c r="AU14" s="288"/>
    </row>
    <row r="15" spans="1:47" ht="15" customHeight="1" x14ac:dyDescent="0.25">
      <c r="B15" s="77" t="s">
        <v>442</v>
      </c>
      <c r="C15" s="273"/>
      <c r="D15" s="274"/>
      <c r="E15" s="275"/>
      <c r="G15" s="295"/>
      <c r="I15" s="285"/>
      <c r="J15" s="286"/>
      <c r="K15" s="287"/>
      <c r="L15" s="287"/>
      <c r="M15" s="287"/>
      <c r="N15" s="287"/>
      <c r="O15" s="288"/>
      <c r="Q15" s="285"/>
      <c r="R15" s="286"/>
      <c r="S15" s="287"/>
      <c r="T15" s="287"/>
      <c r="U15" s="287"/>
      <c r="V15" s="287"/>
      <c r="W15" s="288"/>
      <c r="Y15" s="285"/>
      <c r="Z15" s="286"/>
      <c r="AA15" s="287"/>
      <c r="AB15" s="287"/>
      <c r="AC15" s="287"/>
      <c r="AD15" s="287"/>
      <c r="AE15" s="288"/>
      <c r="AG15" s="285"/>
      <c r="AH15" s="286"/>
      <c r="AI15" s="287"/>
      <c r="AJ15" s="287"/>
      <c r="AK15" s="287"/>
      <c r="AL15" s="287"/>
      <c r="AM15" s="288"/>
      <c r="AO15" s="285"/>
      <c r="AP15" s="286"/>
      <c r="AQ15" s="287"/>
      <c r="AR15" s="287"/>
      <c r="AS15" s="287"/>
      <c r="AT15" s="287"/>
      <c r="AU15" s="288"/>
    </row>
    <row r="16" spans="1:47" ht="15" customHeight="1" x14ac:dyDescent="0.25">
      <c r="B16" s="77" t="s">
        <v>443</v>
      </c>
      <c r="C16" s="273"/>
      <c r="D16" s="274"/>
      <c r="E16" s="275"/>
      <c r="G16" s="295"/>
      <c r="I16" s="285"/>
      <c r="J16" s="286"/>
      <c r="K16" s="287"/>
      <c r="L16" s="287"/>
      <c r="M16" s="287"/>
      <c r="N16" s="287"/>
      <c r="O16" s="288"/>
      <c r="Q16" s="285"/>
      <c r="R16" s="286"/>
      <c r="S16" s="287"/>
      <c r="T16" s="287"/>
      <c r="U16" s="287"/>
      <c r="V16" s="287"/>
      <c r="W16" s="288"/>
      <c r="Y16" s="285"/>
      <c r="Z16" s="286"/>
      <c r="AA16" s="287"/>
      <c r="AB16" s="287"/>
      <c r="AC16" s="287"/>
      <c r="AD16" s="287"/>
      <c r="AE16" s="288"/>
      <c r="AG16" s="285"/>
      <c r="AH16" s="286"/>
      <c r="AI16" s="287"/>
      <c r="AJ16" s="287"/>
      <c r="AK16" s="287"/>
      <c r="AL16" s="287"/>
      <c r="AM16" s="288"/>
      <c r="AO16" s="285"/>
      <c r="AP16" s="286"/>
      <c r="AQ16" s="287"/>
      <c r="AR16" s="287"/>
      <c r="AS16" s="287"/>
      <c r="AT16" s="287"/>
      <c r="AU16" s="288"/>
    </row>
    <row r="17" spans="2:47" ht="15" customHeight="1" x14ac:dyDescent="0.25">
      <c r="B17" s="77"/>
      <c r="C17" s="273"/>
      <c r="D17" s="274"/>
      <c r="E17" s="275"/>
      <c r="G17" s="295"/>
      <c r="I17" s="289"/>
      <c r="J17" s="286"/>
      <c r="K17" s="287"/>
      <c r="L17" s="287"/>
      <c r="M17" s="287"/>
      <c r="N17" s="287"/>
      <c r="O17" s="288"/>
      <c r="Q17" s="289"/>
      <c r="R17" s="286"/>
      <c r="S17" s="287"/>
      <c r="T17" s="287"/>
      <c r="U17" s="287"/>
      <c r="V17" s="287"/>
      <c r="W17" s="288"/>
      <c r="Y17" s="289"/>
      <c r="Z17" s="286"/>
      <c r="AA17" s="287"/>
      <c r="AB17" s="287"/>
      <c r="AC17" s="287"/>
      <c r="AD17" s="287"/>
      <c r="AE17" s="288"/>
      <c r="AG17" s="289"/>
      <c r="AH17" s="286"/>
      <c r="AI17" s="287"/>
      <c r="AJ17" s="287"/>
      <c r="AK17" s="287"/>
      <c r="AL17" s="287"/>
      <c r="AM17" s="288"/>
      <c r="AO17" s="289"/>
      <c r="AP17" s="286"/>
      <c r="AQ17" s="287"/>
      <c r="AR17" s="287"/>
      <c r="AS17" s="287"/>
      <c r="AT17" s="287"/>
      <c r="AU17" s="288"/>
    </row>
    <row r="18" spans="2:47" ht="15" customHeight="1" x14ac:dyDescent="0.25">
      <c r="B18" s="77"/>
      <c r="C18" s="273"/>
      <c r="D18" s="274"/>
      <c r="E18" s="275"/>
      <c r="G18" s="295"/>
      <c r="I18" s="285"/>
      <c r="J18" s="286"/>
      <c r="K18" s="287"/>
      <c r="L18" s="287"/>
      <c r="M18" s="287"/>
      <c r="N18" s="287"/>
      <c r="O18" s="288"/>
      <c r="Q18" s="285"/>
      <c r="R18" s="286"/>
      <c r="S18" s="287"/>
      <c r="T18" s="287"/>
      <c r="U18" s="287"/>
      <c r="V18" s="287"/>
      <c r="W18" s="288"/>
      <c r="Y18" s="285"/>
      <c r="Z18" s="286"/>
      <c r="AA18" s="287"/>
      <c r="AB18" s="287"/>
      <c r="AC18" s="287"/>
      <c r="AD18" s="287"/>
      <c r="AE18" s="288"/>
      <c r="AG18" s="285"/>
      <c r="AH18" s="286"/>
      <c r="AI18" s="287"/>
      <c r="AJ18" s="287"/>
      <c r="AK18" s="287"/>
      <c r="AL18" s="287"/>
      <c r="AM18" s="288"/>
      <c r="AO18" s="285"/>
      <c r="AP18" s="286"/>
      <c r="AQ18" s="287"/>
      <c r="AR18" s="287"/>
      <c r="AS18" s="287"/>
      <c r="AT18" s="287"/>
      <c r="AU18" s="288"/>
    </row>
    <row r="19" spans="2:47" ht="15" customHeight="1" x14ac:dyDescent="0.25">
      <c r="B19" s="77"/>
      <c r="C19" s="273"/>
      <c r="D19" s="274"/>
      <c r="E19" s="275"/>
      <c r="G19" s="295"/>
      <c r="I19" s="285"/>
      <c r="J19" s="286"/>
      <c r="K19" s="287"/>
      <c r="L19" s="287"/>
      <c r="M19" s="287"/>
      <c r="N19" s="287"/>
      <c r="O19" s="288"/>
      <c r="Q19" s="285"/>
      <c r="R19" s="286"/>
      <c r="S19" s="287"/>
      <c r="T19" s="287"/>
      <c r="U19" s="287"/>
      <c r="V19" s="287"/>
      <c r="W19" s="288"/>
      <c r="Y19" s="285"/>
      <c r="Z19" s="286"/>
      <c r="AA19" s="287"/>
      <c r="AB19" s="287"/>
      <c r="AC19" s="287"/>
      <c r="AD19" s="287"/>
      <c r="AE19" s="288"/>
      <c r="AG19" s="285"/>
      <c r="AH19" s="286"/>
      <c r="AI19" s="287"/>
      <c r="AJ19" s="287"/>
      <c r="AK19" s="287"/>
      <c r="AL19" s="287"/>
      <c r="AM19" s="288"/>
      <c r="AO19" s="285"/>
      <c r="AP19" s="286"/>
      <c r="AQ19" s="287"/>
      <c r="AR19" s="287"/>
      <c r="AS19" s="287"/>
      <c r="AT19" s="287"/>
      <c r="AU19" s="288"/>
    </row>
    <row r="20" spans="2:47" ht="15" customHeight="1" x14ac:dyDescent="0.25">
      <c r="B20" s="77"/>
      <c r="C20" s="273"/>
      <c r="D20" s="274"/>
      <c r="E20" s="275"/>
      <c r="G20" s="295"/>
      <c r="I20" s="285"/>
      <c r="J20" s="286"/>
      <c r="K20" s="287"/>
      <c r="L20" s="287"/>
      <c r="M20" s="287"/>
      <c r="N20" s="287"/>
      <c r="O20" s="288"/>
      <c r="Q20" s="285"/>
      <c r="R20" s="286"/>
      <c r="S20" s="287"/>
      <c r="T20" s="287"/>
      <c r="U20" s="287"/>
      <c r="V20" s="287"/>
      <c r="W20" s="288"/>
      <c r="Y20" s="285"/>
      <c r="Z20" s="286"/>
      <c r="AA20" s="287"/>
      <c r="AB20" s="287"/>
      <c r="AC20" s="287"/>
      <c r="AD20" s="287"/>
      <c r="AE20" s="288"/>
      <c r="AG20" s="285"/>
      <c r="AH20" s="286"/>
      <c r="AI20" s="287"/>
      <c r="AJ20" s="287"/>
      <c r="AK20" s="287"/>
      <c r="AL20" s="287"/>
      <c r="AM20" s="288"/>
      <c r="AO20" s="285"/>
      <c r="AP20" s="286"/>
      <c r="AQ20" s="287"/>
      <c r="AR20" s="287"/>
      <c r="AS20" s="287"/>
      <c r="AT20" s="287"/>
      <c r="AU20" s="288"/>
    </row>
    <row r="21" spans="2:47" ht="15" customHeight="1" x14ac:dyDescent="0.25">
      <c r="B21" s="77"/>
      <c r="C21" s="273"/>
      <c r="D21" s="274"/>
      <c r="E21" s="275"/>
      <c r="G21" s="295"/>
      <c r="I21" s="285"/>
      <c r="J21" s="286"/>
      <c r="K21" s="287"/>
      <c r="L21" s="287"/>
      <c r="M21" s="287"/>
      <c r="N21" s="287"/>
      <c r="O21" s="288"/>
      <c r="Q21" s="285"/>
      <c r="R21" s="286"/>
      <c r="S21" s="287"/>
      <c r="T21" s="287"/>
      <c r="U21" s="287"/>
      <c r="V21" s="287"/>
      <c r="W21" s="288"/>
      <c r="Y21" s="285"/>
      <c r="Z21" s="286"/>
      <c r="AA21" s="287"/>
      <c r="AB21" s="287"/>
      <c r="AC21" s="287"/>
      <c r="AD21" s="287"/>
      <c r="AE21" s="288"/>
      <c r="AG21" s="285"/>
      <c r="AH21" s="286"/>
      <c r="AI21" s="287"/>
      <c r="AJ21" s="287"/>
      <c r="AK21" s="287"/>
      <c r="AL21" s="287"/>
      <c r="AM21" s="288"/>
      <c r="AO21" s="285"/>
      <c r="AP21" s="286"/>
      <c r="AQ21" s="287"/>
      <c r="AR21" s="287"/>
      <c r="AS21" s="287"/>
      <c r="AT21" s="287"/>
      <c r="AU21" s="288"/>
    </row>
    <row r="22" spans="2:47" ht="15" customHeight="1" x14ac:dyDescent="0.25">
      <c r="B22" s="77"/>
      <c r="C22" s="273"/>
      <c r="D22" s="274"/>
      <c r="E22" s="275"/>
      <c r="G22" s="295"/>
      <c r="I22" s="285"/>
      <c r="J22" s="286"/>
      <c r="K22" s="287"/>
      <c r="L22" s="287"/>
      <c r="M22" s="287"/>
      <c r="N22" s="287"/>
      <c r="O22" s="288"/>
      <c r="Q22" s="285"/>
      <c r="R22" s="286"/>
      <c r="S22" s="287"/>
      <c r="T22" s="287"/>
      <c r="U22" s="287"/>
      <c r="V22" s="287"/>
      <c r="W22" s="288"/>
      <c r="Y22" s="285"/>
      <c r="Z22" s="286"/>
      <c r="AA22" s="287"/>
      <c r="AB22" s="287"/>
      <c r="AC22" s="287"/>
      <c r="AD22" s="287"/>
      <c r="AE22" s="288"/>
      <c r="AG22" s="285"/>
      <c r="AH22" s="286"/>
      <c r="AI22" s="287"/>
      <c r="AJ22" s="287"/>
      <c r="AK22" s="287"/>
      <c r="AL22" s="287"/>
      <c r="AM22" s="288"/>
      <c r="AO22" s="285"/>
      <c r="AP22" s="286"/>
      <c r="AQ22" s="287"/>
      <c r="AR22" s="287"/>
      <c r="AS22" s="287"/>
      <c r="AT22" s="287"/>
      <c r="AU22" s="288"/>
    </row>
    <row r="23" spans="2:47" ht="15" customHeight="1" x14ac:dyDescent="0.25">
      <c r="B23" s="77" t="s">
        <v>444</v>
      </c>
      <c r="C23" s="273"/>
      <c r="D23" s="274"/>
      <c r="E23" s="275"/>
      <c r="G23" s="295"/>
      <c r="I23" s="285"/>
      <c r="J23" s="286"/>
      <c r="K23" s="287"/>
      <c r="L23" s="287"/>
      <c r="M23" s="287"/>
      <c r="N23" s="287"/>
      <c r="O23" s="288"/>
      <c r="Q23" s="285"/>
      <c r="R23" s="286"/>
      <c r="S23" s="287"/>
      <c r="T23" s="287"/>
      <c r="U23" s="287"/>
      <c r="V23" s="287"/>
      <c r="W23" s="288"/>
      <c r="Y23" s="285"/>
      <c r="Z23" s="286"/>
      <c r="AA23" s="287"/>
      <c r="AB23" s="287"/>
      <c r="AC23" s="287"/>
      <c r="AD23" s="287"/>
      <c r="AE23" s="288"/>
      <c r="AG23" s="285"/>
      <c r="AH23" s="286"/>
      <c r="AI23" s="287"/>
      <c r="AJ23" s="287"/>
      <c r="AK23" s="287"/>
      <c r="AL23" s="287"/>
      <c r="AM23" s="288"/>
      <c r="AO23" s="285"/>
      <c r="AP23" s="286"/>
      <c r="AQ23" s="287"/>
      <c r="AR23" s="287"/>
      <c r="AS23" s="287"/>
      <c r="AT23" s="287"/>
      <c r="AU23" s="288"/>
    </row>
    <row r="24" spans="2:47" ht="15" customHeight="1" x14ac:dyDescent="0.25">
      <c r="B24" s="77" t="s">
        <v>445</v>
      </c>
      <c r="C24" s="273"/>
      <c r="D24" s="274"/>
      <c r="E24" s="275"/>
      <c r="G24" s="295"/>
      <c r="I24" s="285"/>
      <c r="J24" s="286"/>
      <c r="K24" s="287"/>
      <c r="L24" s="287"/>
      <c r="M24" s="287"/>
      <c r="N24" s="287"/>
      <c r="O24" s="288"/>
      <c r="Q24" s="285"/>
      <c r="R24" s="286"/>
      <c r="S24" s="287"/>
      <c r="T24" s="287"/>
      <c r="U24" s="287"/>
      <c r="V24" s="287"/>
      <c r="W24" s="288"/>
      <c r="Y24" s="285"/>
      <c r="Z24" s="286"/>
      <c r="AA24" s="287"/>
      <c r="AB24" s="287"/>
      <c r="AC24" s="287"/>
      <c r="AD24" s="287"/>
      <c r="AE24" s="288"/>
      <c r="AG24" s="285"/>
      <c r="AH24" s="286"/>
      <c r="AI24" s="287"/>
      <c r="AJ24" s="287"/>
      <c r="AK24" s="287"/>
      <c r="AL24" s="287"/>
      <c r="AM24" s="288"/>
      <c r="AO24" s="285"/>
      <c r="AP24" s="286"/>
      <c r="AQ24" s="287"/>
      <c r="AR24" s="287"/>
      <c r="AS24" s="287"/>
      <c r="AT24" s="287"/>
      <c r="AU24" s="288"/>
    </row>
    <row r="25" spans="2:47" ht="15" customHeight="1" x14ac:dyDescent="0.25">
      <c r="B25" s="77" t="s">
        <v>446</v>
      </c>
      <c r="C25" s="273"/>
      <c r="D25" s="274"/>
      <c r="E25" s="275"/>
      <c r="G25" s="295"/>
      <c r="I25" s="285"/>
      <c r="J25" s="286"/>
      <c r="K25" s="287"/>
      <c r="L25" s="287"/>
      <c r="M25" s="287"/>
      <c r="N25" s="287"/>
      <c r="O25" s="288"/>
      <c r="Q25" s="285"/>
      <c r="R25" s="286"/>
      <c r="S25" s="287"/>
      <c r="T25" s="287"/>
      <c r="U25" s="287"/>
      <c r="V25" s="287"/>
      <c r="W25" s="288"/>
      <c r="Y25" s="285"/>
      <c r="Z25" s="286"/>
      <c r="AA25" s="287"/>
      <c r="AB25" s="287"/>
      <c r="AC25" s="287"/>
      <c r="AD25" s="287"/>
      <c r="AE25" s="288"/>
      <c r="AG25" s="285"/>
      <c r="AH25" s="286"/>
      <c r="AI25" s="287"/>
      <c r="AJ25" s="287"/>
      <c r="AK25" s="287"/>
      <c r="AL25" s="287"/>
      <c r="AM25" s="288"/>
      <c r="AO25" s="285"/>
      <c r="AP25" s="286"/>
      <c r="AQ25" s="287"/>
      <c r="AR25" s="287"/>
      <c r="AS25" s="287"/>
      <c r="AT25" s="287"/>
      <c r="AU25" s="288"/>
    </row>
    <row r="26" spans="2:47" ht="15" customHeight="1" x14ac:dyDescent="0.25">
      <c r="B26" s="77" t="s">
        <v>447</v>
      </c>
      <c r="C26" s="273"/>
      <c r="D26" s="274"/>
      <c r="E26" s="275"/>
      <c r="G26" s="295"/>
      <c r="I26" s="285"/>
      <c r="J26" s="286"/>
      <c r="K26" s="287"/>
      <c r="L26" s="287"/>
      <c r="M26" s="287"/>
      <c r="N26" s="287"/>
      <c r="O26" s="288"/>
      <c r="Q26" s="285"/>
      <c r="R26" s="286"/>
      <c r="S26" s="287"/>
      <c r="T26" s="287"/>
      <c r="U26" s="287"/>
      <c r="V26" s="287"/>
      <c r="W26" s="288"/>
      <c r="Y26" s="285"/>
      <c r="Z26" s="286"/>
      <c r="AA26" s="287"/>
      <c r="AB26" s="287"/>
      <c r="AC26" s="287"/>
      <c r="AD26" s="287"/>
      <c r="AE26" s="288"/>
      <c r="AG26" s="285"/>
      <c r="AH26" s="286"/>
      <c r="AI26" s="287"/>
      <c r="AJ26" s="287"/>
      <c r="AK26" s="287"/>
      <c r="AL26" s="287"/>
      <c r="AM26" s="288"/>
      <c r="AO26" s="285"/>
      <c r="AP26" s="286"/>
      <c r="AQ26" s="287"/>
      <c r="AR26" s="287"/>
      <c r="AS26" s="287"/>
      <c r="AT26" s="287"/>
      <c r="AU26" s="288"/>
    </row>
    <row r="27" spans="2:47" ht="15" customHeight="1" x14ac:dyDescent="0.25">
      <c r="B27" s="77" t="s">
        <v>448</v>
      </c>
      <c r="C27" s="273"/>
      <c r="D27" s="274"/>
      <c r="E27" s="275"/>
      <c r="G27" s="295"/>
      <c r="I27" s="285"/>
      <c r="J27" s="286"/>
      <c r="K27" s="287"/>
      <c r="L27" s="287"/>
      <c r="M27" s="287"/>
      <c r="N27" s="287"/>
      <c r="O27" s="288"/>
      <c r="Q27" s="285"/>
      <c r="R27" s="286"/>
      <c r="S27" s="287"/>
      <c r="T27" s="287"/>
      <c r="U27" s="287"/>
      <c r="V27" s="287"/>
      <c r="W27" s="288"/>
      <c r="Y27" s="285"/>
      <c r="Z27" s="286"/>
      <c r="AA27" s="287"/>
      <c r="AB27" s="287"/>
      <c r="AC27" s="287"/>
      <c r="AD27" s="287"/>
      <c r="AE27" s="288"/>
      <c r="AG27" s="285"/>
      <c r="AH27" s="286"/>
      <c r="AI27" s="287"/>
      <c r="AJ27" s="287"/>
      <c r="AK27" s="287"/>
      <c r="AL27" s="287"/>
      <c r="AM27" s="288"/>
      <c r="AO27" s="285"/>
      <c r="AP27" s="286"/>
      <c r="AQ27" s="287"/>
      <c r="AR27" s="287"/>
      <c r="AS27" s="287"/>
      <c r="AT27" s="287"/>
      <c r="AU27" s="288"/>
    </row>
    <row r="28" spans="2:47" ht="15" customHeight="1" x14ac:dyDescent="0.25">
      <c r="B28" s="77" t="s">
        <v>449</v>
      </c>
      <c r="C28" s="273"/>
      <c r="D28" s="274"/>
      <c r="E28" s="275"/>
      <c r="G28" s="295"/>
      <c r="I28" s="285"/>
      <c r="J28" s="286"/>
      <c r="K28" s="287"/>
      <c r="L28" s="287"/>
      <c r="M28" s="287"/>
      <c r="N28" s="287"/>
      <c r="O28" s="288"/>
      <c r="Q28" s="285"/>
      <c r="R28" s="286"/>
      <c r="S28" s="287"/>
      <c r="T28" s="287"/>
      <c r="U28" s="287"/>
      <c r="V28" s="287"/>
      <c r="W28" s="288"/>
      <c r="Y28" s="285"/>
      <c r="Z28" s="286"/>
      <c r="AA28" s="287"/>
      <c r="AB28" s="287"/>
      <c r="AC28" s="287"/>
      <c r="AD28" s="287"/>
      <c r="AE28" s="288"/>
      <c r="AG28" s="285"/>
      <c r="AH28" s="286"/>
      <c r="AI28" s="287"/>
      <c r="AJ28" s="287"/>
      <c r="AK28" s="287"/>
      <c r="AL28" s="287"/>
      <c r="AM28" s="288"/>
      <c r="AO28" s="285"/>
      <c r="AP28" s="286"/>
      <c r="AQ28" s="287"/>
      <c r="AR28" s="287"/>
      <c r="AS28" s="287"/>
      <c r="AT28" s="287"/>
      <c r="AU28" s="288"/>
    </row>
    <row r="29" spans="2:47" ht="15" customHeight="1" x14ac:dyDescent="0.25">
      <c r="B29" s="77" t="s">
        <v>450</v>
      </c>
      <c r="C29" s="273"/>
      <c r="D29" s="274"/>
      <c r="E29" s="275"/>
      <c r="G29" s="295"/>
      <c r="I29" s="285"/>
      <c r="J29" s="286"/>
      <c r="K29" s="287"/>
      <c r="L29" s="287"/>
      <c r="M29" s="287"/>
      <c r="N29" s="287"/>
      <c r="O29" s="288"/>
      <c r="Q29" s="285"/>
      <c r="R29" s="286"/>
      <c r="S29" s="287"/>
      <c r="T29" s="287"/>
      <c r="U29" s="287"/>
      <c r="V29" s="287"/>
      <c r="W29" s="288"/>
      <c r="Y29" s="285"/>
      <c r="Z29" s="286"/>
      <c r="AA29" s="287"/>
      <c r="AB29" s="287"/>
      <c r="AC29" s="287"/>
      <c r="AD29" s="287"/>
      <c r="AE29" s="288"/>
      <c r="AG29" s="285"/>
      <c r="AH29" s="286"/>
      <c r="AI29" s="287"/>
      <c r="AJ29" s="287"/>
      <c r="AK29" s="287"/>
      <c r="AL29" s="287"/>
      <c r="AM29" s="288"/>
      <c r="AO29" s="285"/>
      <c r="AP29" s="286"/>
      <c r="AQ29" s="287"/>
      <c r="AR29" s="287"/>
      <c r="AS29" s="287"/>
      <c r="AT29" s="287"/>
      <c r="AU29" s="288"/>
    </row>
    <row r="30" spans="2:47" ht="15" customHeight="1" x14ac:dyDescent="0.25">
      <c r="B30" s="77" t="s">
        <v>454</v>
      </c>
      <c r="C30" s="273"/>
      <c r="D30" s="274"/>
      <c r="E30" s="275"/>
      <c r="G30" s="295"/>
      <c r="I30" s="285"/>
      <c r="J30" s="286"/>
      <c r="K30" s="287"/>
      <c r="L30" s="287"/>
      <c r="M30" s="287"/>
      <c r="N30" s="287"/>
      <c r="O30" s="288"/>
      <c r="Q30" s="285"/>
      <c r="R30" s="286"/>
      <c r="S30" s="287"/>
      <c r="T30" s="287"/>
      <c r="U30" s="287"/>
      <c r="V30" s="287"/>
      <c r="W30" s="288"/>
      <c r="Y30" s="285"/>
      <c r="Z30" s="286"/>
      <c r="AA30" s="287"/>
      <c r="AB30" s="287"/>
      <c r="AC30" s="287"/>
      <c r="AD30" s="287"/>
      <c r="AE30" s="288"/>
      <c r="AG30" s="285"/>
      <c r="AH30" s="286"/>
      <c r="AI30" s="287"/>
      <c r="AJ30" s="287"/>
      <c r="AK30" s="287"/>
      <c r="AL30" s="287"/>
      <c r="AM30" s="288"/>
      <c r="AO30" s="285"/>
      <c r="AP30" s="286"/>
      <c r="AQ30" s="287"/>
      <c r="AR30" s="287"/>
      <c r="AS30" s="287"/>
      <c r="AT30" s="287"/>
      <c r="AU30" s="288"/>
    </row>
    <row r="31" spans="2:47" ht="15" customHeight="1" x14ac:dyDescent="0.25">
      <c r="B31" s="77" t="s">
        <v>455</v>
      </c>
      <c r="C31" s="273"/>
      <c r="D31" s="274"/>
      <c r="E31" s="275"/>
      <c r="G31" s="295"/>
      <c r="I31" s="285"/>
      <c r="J31" s="286"/>
      <c r="K31" s="287"/>
      <c r="L31" s="287"/>
      <c r="M31" s="287"/>
      <c r="N31" s="287"/>
      <c r="O31" s="288"/>
      <c r="Q31" s="285"/>
      <c r="R31" s="286"/>
      <c r="S31" s="287"/>
      <c r="T31" s="287"/>
      <c r="U31" s="287"/>
      <c r="V31" s="287"/>
      <c r="W31" s="288"/>
      <c r="Y31" s="285"/>
      <c r="Z31" s="286"/>
      <c r="AA31" s="287"/>
      <c r="AB31" s="287"/>
      <c r="AC31" s="287"/>
      <c r="AD31" s="287"/>
      <c r="AE31" s="288"/>
      <c r="AG31" s="285"/>
      <c r="AH31" s="286"/>
      <c r="AI31" s="287"/>
      <c r="AJ31" s="287"/>
      <c r="AK31" s="287"/>
      <c r="AL31" s="287"/>
      <c r="AM31" s="288"/>
      <c r="AO31" s="285"/>
      <c r="AP31" s="286"/>
      <c r="AQ31" s="287"/>
      <c r="AR31" s="287"/>
      <c r="AS31" s="287"/>
      <c r="AT31" s="287"/>
      <c r="AU31" s="288"/>
    </row>
    <row r="32" spans="2:47" ht="15" customHeight="1" x14ac:dyDescent="0.25">
      <c r="B32" s="77" t="s">
        <v>456</v>
      </c>
      <c r="C32" s="273"/>
      <c r="D32" s="274"/>
      <c r="E32" s="275"/>
      <c r="G32" s="295"/>
      <c r="I32" s="285"/>
      <c r="J32" s="286"/>
      <c r="K32" s="287"/>
      <c r="L32" s="287"/>
      <c r="M32" s="287"/>
      <c r="N32" s="287"/>
      <c r="O32" s="288"/>
      <c r="Q32" s="285"/>
      <c r="R32" s="286"/>
      <c r="S32" s="287"/>
      <c r="T32" s="287"/>
      <c r="U32" s="287"/>
      <c r="V32" s="287"/>
      <c r="W32" s="288"/>
      <c r="Y32" s="285"/>
      <c r="Z32" s="286"/>
      <c r="AA32" s="287"/>
      <c r="AB32" s="287"/>
      <c r="AC32" s="287"/>
      <c r="AD32" s="287"/>
      <c r="AE32" s="288"/>
      <c r="AG32" s="285"/>
      <c r="AH32" s="286"/>
      <c r="AI32" s="287"/>
      <c r="AJ32" s="287"/>
      <c r="AK32" s="287"/>
      <c r="AL32" s="287"/>
      <c r="AM32" s="288"/>
      <c r="AO32" s="285"/>
      <c r="AP32" s="286"/>
      <c r="AQ32" s="287"/>
      <c r="AR32" s="287"/>
      <c r="AS32" s="287"/>
      <c r="AT32" s="287"/>
      <c r="AU32" s="288"/>
    </row>
    <row r="33" spans="2:47" ht="15" customHeight="1" x14ac:dyDescent="0.25">
      <c r="B33" s="72" t="s">
        <v>457</v>
      </c>
      <c r="C33" s="277"/>
      <c r="D33" s="278"/>
      <c r="E33" s="279"/>
      <c r="G33" s="296"/>
      <c r="I33" s="290"/>
      <c r="J33" s="291"/>
      <c r="K33" s="292"/>
      <c r="L33" s="292"/>
      <c r="M33" s="292"/>
      <c r="N33" s="292"/>
      <c r="O33" s="293"/>
      <c r="Q33" s="290"/>
      <c r="R33" s="291"/>
      <c r="S33" s="292"/>
      <c r="T33" s="292"/>
      <c r="U33" s="292"/>
      <c r="V33" s="292"/>
      <c r="W33" s="293"/>
      <c r="Y33" s="290"/>
      <c r="Z33" s="291"/>
      <c r="AA33" s="292"/>
      <c r="AB33" s="292"/>
      <c r="AC33" s="292"/>
      <c r="AD33" s="292"/>
      <c r="AE33" s="293"/>
      <c r="AG33" s="290"/>
      <c r="AH33" s="291"/>
      <c r="AI33" s="292"/>
      <c r="AJ33" s="292"/>
      <c r="AK33" s="292"/>
      <c r="AL33" s="292"/>
      <c r="AM33" s="293"/>
      <c r="AO33" s="290"/>
      <c r="AP33" s="291"/>
      <c r="AQ33" s="292"/>
      <c r="AR33" s="292"/>
      <c r="AS33" s="292"/>
      <c r="AT33" s="292"/>
      <c r="AU33" s="293"/>
    </row>
    <row r="34" spans="2:47" ht="15" customHeight="1" x14ac:dyDescent="0.25">
      <c r="C34" s="4" t="s">
        <v>497</v>
      </c>
    </row>
    <row r="35" spans="2:47" ht="15" customHeight="1" x14ac:dyDescent="0.25"/>
    <row r="36" spans="2:47" ht="15" customHeight="1" x14ac:dyDescent="0.25"/>
    <row r="37" spans="2:47" ht="15" customHeight="1" x14ac:dyDescent="0.25"/>
  </sheetData>
  <sheetProtection algorithmName="SHA-512" hashValue="Onn/gT9lHFQkdjXEk9rkGKf2bSGFDHxb4TsMf6Gu9I0A+3XJRBVw798PZXlZ3jikNdvxWWw9TI1pYzXXXqAdrw==" saltValue="VTfIAB6UhCQCWoWus3TgCQ==" spinCount="100000" sheet="1" objects="1" scenarios="1" sort="0" autoFilter="0"/>
  <mergeCells count="11">
    <mergeCell ref="D5:E5"/>
    <mergeCell ref="Y10:AE10"/>
    <mergeCell ref="AG10:AM10"/>
    <mergeCell ref="AO10:AU10"/>
    <mergeCell ref="C8:E8"/>
    <mergeCell ref="G10:G11"/>
    <mergeCell ref="C10:C11"/>
    <mergeCell ref="D10:D11"/>
    <mergeCell ref="E10:E11"/>
    <mergeCell ref="I10:O10"/>
    <mergeCell ref="Q10:W10"/>
  </mergeCells>
  <hyperlinks>
    <hyperlink ref="C1" location="ÍNDICE!A1" display="BACK TO INDEX" xr:uid="{00000000-0004-0000-1200-000000000000}"/>
  </hyperlinks>
  <pageMargins left="0.70866141732283472" right="0.70866141732283472" top="0.74803149606299213" bottom="0.74803149606299213" header="0.31496062992125984" footer="0.31496062992125984"/>
  <pageSetup scale="54" orientation="landscape" r:id="rId1"/>
  <colBreaks count="1" manualBreakCount="1">
    <brk id="15" min="1" max="33"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J65"/>
  <sheetViews>
    <sheetView showGridLines="0" zoomScale="85" zoomScaleNormal="85" workbookViewId="0">
      <pane ySplit="1" topLeftCell="A2" activePane="bottomLeft" state="frozen"/>
      <selection pane="bottomLeft" activeCell="G40" sqref="G40"/>
    </sheetView>
  </sheetViews>
  <sheetFormatPr defaultColWidth="0" defaultRowHeight="15" customHeight="1" zeroHeight="1" x14ac:dyDescent="0.25"/>
  <cols>
    <col min="1" max="1" width="1.140625" style="3" customWidth="1"/>
    <col min="2" max="2" width="33.85546875" style="4" customWidth="1"/>
    <col min="3" max="3" width="21.7109375" style="3" customWidth="1"/>
    <col min="4" max="4" width="13.28515625" style="3" customWidth="1"/>
    <col min="5" max="6" width="19.28515625" style="3" customWidth="1"/>
    <col min="7" max="7" width="33.140625" style="3" customWidth="1"/>
    <col min="8" max="8" width="1.140625" style="3" customWidth="1"/>
    <col min="9" max="16384" width="9.140625" style="3" hidden="1"/>
  </cols>
  <sheetData>
    <row r="1" spans="1:10" ht="21" customHeight="1" x14ac:dyDescent="0.2">
      <c r="A1" s="2"/>
      <c r="B1" s="167" t="s">
        <v>29</v>
      </c>
      <c r="C1" s="2"/>
      <c r="D1" s="2"/>
      <c r="E1" s="2"/>
      <c r="F1" s="2"/>
      <c r="G1" s="2"/>
      <c r="H1" s="2"/>
    </row>
    <row r="2" spans="1:10" ht="15" customHeight="1" x14ac:dyDescent="0.2"/>
    <row r="3" spans="1:10" ht="15" customHeight="1" x14ac:dyDescent="0.25">
      <c r="C3" s="491" t="s">
        <v>37</v>
      </c>
      <c r="D3" s="492"/>
      <c r="E3" s="186">
        <f>IF(COVER!E6&lt;&gt;"",COVER!E6,"")</f>
        <v>2021</v>
      </c>
    </row>
    <row r="4" spans="1:10" ht="15" customHeight="1" x14ac:dyDescent="0.2"/>
    <row r="5" spans="1:10" ht="20.25" customHeight="1" x14ac:dyDescent="0.2">
      <c r="B5" s="5" t="s">
        <v>4</v>
      </c>
      <c r="C5" s="416" t="str">
        <f>IF(COVER!E8&lt;&gt;"",COVER!E8,"")</f>
        <v>POWER BLOX AFRICA, S.A.</v>
      </c>
      <c r="D5" s="430"/>
      <c r="E5" s="461"/>
    </row>
    <row r="6" spans="1:10" ht="15" customHeight="1" x14ac:dyDescent="0.2"/>
    <row r="7" spans="1:10" s="6" customFormat="1" ht="30.75" customHeight="1" x14ac:dyDescent="0.25">
      <c r="B7" s="376" t="s">
        <v>511</v>
      </c>
      <c r="C7" s="404"/>
      <c r="D7" s="404"/>
      <c r="E7" s="404"/>
      <c r="F7" s="404"/>
      <c r="G7" s="404"/>
    </row>
    <row r="8" spans="1:10" ht="15" customHeight="1" x14ac:dyDescent="0.2"/>
    <row r="9" spans="1:10" s="6" customFormat="1" ht="30.75" customHeight="1" x14ac:dyDescent="0.25">
      <c r="B9" s="489" t="s">
        <v>512</v>
      </c>
      <c r="C9" s="490"/>
      <c r="D9" s="490"/>
      <c r="E9" s="490"/>
      <c r="F9" s="490"/>
      <c r="G9" s="490"/>
    </row>
    <row r="10" spans="1:10" x14ac:dyDescent="0.25"/>
    <row r="11" spans="1:10" ht="33" customHeight="1" x14ac:dyDescent="0.25">
      <c r="B11" s="452"/>
      <c r="C11" s="488"/>
      <c r="D11" s="488"/>
      <c r="E11" s="488"/>
      <c r="F11" s="488"/>
      <c r="G11" s="453"/>
      <c r="J11" s="11"/>
    </row>
    <row r="12" spans="1:10" ht="33" customHeight="1" x14ac:dyDescent="0.25">
      <c r="B12" s="454"/>
      <c r="C12" s="488"/>
      <c r="D12" s="488"/>
      <c r="E12" s="488"/>
      <c r="F12" s="488"/>
      <c r="G12" s="453"/>
      <c r="J12" s="11"/>
    </row>
    <row r="13" spans="1:10" ht="33" customHeight="1" x14ac:dyDescent="0.25">
      <c r="B13" s="454"/>
      <c r="C13" s="488"/>
      <c r="D13" s="488"/>
      <c r="E13" s="488"/>
      <c r="F13" s="488"/>
      <c r="G13" s="453"/>
      <c r="J13" s="11"/>
    </row>
    <row r="14" spans="1:10" ht="33" customHeight="1" x14ac:dyDescent="0.25">
      <c r="B14" s="454"/>
      <c r="C14" s="488"/>
      <c r="D14" s="488"/>
      <c r="E14" s="488"/>
      <c r="F14" s="488"/>
      <c r="G14" s="453"/>
      <c r="J14" s="11"/>
    </row>
    <row r="15" spans="1:10" ht="33" customHeight="1" x14ac:dyDescent="0.25">
      <c r="B15" s="454"/>
      <c r="C15" s="488"/>
      <c r="D15" s="488"/>
      <c r="E15" s="488"/>
      <c r="F15" s="488"/>
      <c r="G15" s="453"/>
      <c r="J15" s="11"/>
    </row>
    <row r="16" spans="1:10" ht="33" customHeight="1" x14ac:dyDescent="0.25">
      <c r="B16" s="452"/>
      <c r="C16" s="488"/>
      <c r="D16" s="488"/>
      <c r="E16" s="488"/>
      <c r="F16" s="488"/>
      <c r="G16" s="453"/>
      <c r="J16" s="11"/>
    </row>
    <row r="17" spans="2:10" ht="33" customHeight="1" x14ac:dyDescent="0.25">
      <c r="B17" s="454"/>
      <c r="C17" s="488"/>
      <c r="D17" s="488"/>
      <c r="E17" s="488"/>
      <c r="F17" s="488"/>
      <c r="G17" s="453"/>
      <c r="J17" s="11"/>
    </row>
    <row r="18" spans="2:10" ht="33" customHeight="1" x14ac:dyDescent="0.25">
      <c r="B18" s="454"/>
      <c r="C18" s="488"/>
      <c r="D18" s="488"/>
      <c r="E18" s="488"/>
      <c r="F18" s="488"/>
      <c r="G18" s="453"/>
      <c r="J18" s="11"/>
    </row>
    <row r="19" spans="2:10" ht="33" customHeight="1" x14ac:dyDescent="0.25">
      <c r="B19" s="454"/>
      <c r="C19" s="488"/>
      <c r="D19" s="488"/>
      <c r="E19" s="488"/>
      <c r="F19" s="488"/>
      <c r="G19" s="453"/>
      <c r="J19" s="11"/>
    </row>
    <row r="20" spans="2:10" ht="33" customHeight="1" x14ac:dyDescent="0.25">
      <c r="B20" s="454"/>
      <c r="C20" s="488"/>
      <c r="D20" s="488"/>
      <c r="E20" s="488"/>
      <c r="F20" s="488"/>
      <c r="G20" s="453"/>
      <c r="J20" s="11"/>
    </row>
    <row r="21" spans="2:10" ht="33" customHeight="1" x14ac:dyDescent="0.25">
      <c r="B21" s="452"/>
      <c r="C21" s="488"/>
      <c r="D21" s="488"/>
      <c r="E21" s="488"/>
      <c r="F21" s="488"/>
      <c r="G21" s="453"/>
      <c r="J21" s="11"/>
    </row>
    <row r="22" spans="2:10" ht="33" customHeight="1" x14ac:dyDescent="0.25">
      <c r="B22" s="454"/>
      <c r="C22" s="488"/>
      <c r="D22" s="488"/>
      <c r="E22" s="488"/>
      <c r="F22" s="488"/>
      <c r="G22" s="453"/>
      <c r="J22" s="11"/>
    </row>
    <row r="23" spans="2:10" ht="33" customHeight="1" x14ac:dyDescent="0.25">
      <c r="B23" s="454"/>
      <c r="C23" s="488"/>
      <c r="D23" s="488"/>
      <c r="E23" s="488"/>
      <c r="F23" s="488"/>
      <c r="G23" s="453"/>
      <c r="J23" s="11"/>
    </row>
    <row r="24" spans="2:10" ht="33" customHeight="1" x14ac:dyDescent="0.25">
      <c r="B24" s="454"/>
      <c r="C24" s="488"/>
      <c r="D24" s="488"/>
      <c r="E24" s="488"/>
      <c r="F24" s="488"/>
      <c r="G24" s="453"/>
      <c r="J24" s="11"/>
    </row>
    <row r="25" spans="2:10" ht="33" customHeight="1" x14ac:dyDescent="0.25">
      <c r="B25" s="454"/>
      <c r="C25" s="488"/>
      <c r="D25" s="488"/>
      <c r="E25" s="488"/>
      <c r="F25" s="488"/>
      <c r="G25" s="453"/>
      <c r="J25" s="11"/>
    </row>
    <row r="26" spans="2:10" x14ac:dyDescent="0.25"/>
    <row r="27" spans="2:10" s="6" customFormat="1" ht="30.75" customHeight="1" x14ac:dyDescent="0.25">
      <c r="B27" s="489" t="s">
        <v>513</v>
      </c>
      <c r="C27" s="490"/>
      <c r="D27" s="490"/>
      <c r="E27" s="490"/>
      <c r="F27" s="490"/>
      <c r="G27" s="490"/>
    </row>
    <row r="28" spans="2:10" x14ac:dyDescent="0.25"/>
    <row r="29" spans="2:10" ht="33" customHeight="1" x14ac:dyDescent="0.25">
      <c r="B29" s="452"/>
      <c r="C29" s="488"/>
      <c r="D29" s="488"/>
      <c r="E29" s="488"/>
      <c r="F29" s="488"/>
      <c r="G29" s="453"/>
      <c r="J29" s="11"/>
    </row>
    <row r="30" spans="2:10" ht="33" customHeight="1" x14ac:dyDescent="0.25">
      <c r="B30" s="454"/>
      <c r="C30" s="488"/>
      <c r="D30" s="488"/>
      <c r="E30" s="488"/>
      <c r="F30" s="488"/>
      <c r="G30" s="453"/>
      <c r="J30" s="11"/>
    </row>
    <row r="31" spans="2:10" ht="33" customHeight="1" x14ac:dyDescent="0.25">
      <c r="B31" s="454"/>
      <c r="C31" s="488"/>
      <c r="D31" s="488"/>
      <c r="E31" s="488"/>
      <c r="F31" s="488"/>
      <c r="G31" s="453"/>
      <c r="J31" s="11"/>
    </row>
    <row r="32" spans="2:10" ht="33" customHeight="1" x14ac:dyDescent="0.25">
      <c r="B32" s="454"/>
      <c r="C32" s="488"/>
      <c r="D32" s="488"/>
      <c r="E32" s="488"/>
      <c r="F32" s="488"/>
      <c r="G32" s="453"/>
      <c r="J32" s="11"/>
    </row>
    <row r="33" spans="2:10" ht="33" customHeight="1" x14ac:dyDescent="0.25">
      <c r="B33" s="454"/>
      <c r="C33" s="488"/>
      <c r="D33" s="488"/>
      <c r="E33" s="488"/>
      <c r="F33" s="488"/>
      <c r="G33" s="453"/>
      <c r="J33" s="11"/>
    </row>
    <row r="34" spans="2:10" ht="33" customHeight="1" x14ac:dyDescent="0.25">
      <c r="B34" s="452"/>
      <c r="C34" s="488"/>
      <c r="D34" s="488"/>
      <c r="E34" s="488"/>
      <c r="F34" s="488"/>
      <c r="G34" s="453"/>
      <c r="J34" s="11"/>
    </row>
    <row r="35" spans="2:10" ht="33" customHeight="1" x14ac:dyDescent="0.25">
      <c r="B35" s="454"/>
      <c r="C35" s="488"/>
      <c r="D35" s="488"/>
      <c r="E35" s="488"/>
      <c r="F35" s="488"/>
      <c r="G35" s="453"/>
      <c r="J35" s="11"/>
    </row>
    <row r="36" spans="2:10" ht="33" customHeight="1" x14ac:dyDescent="0.25">
      <c r="B36" s="452"/>
      <c r="C36" s="488"/>
      <c r="D36" s="488"/>
      <c r="E36" s="488"/>
      <c r="F36" s="488"/>
      <c r="G36" s="453"/>
      <c r="J36" s="11"/>
    </row>
    <row r="37" spans="2:10" ht="16.5" customHeight="1" x14ac:dyDescent="0.25"/>
    <row r="38" spans="2:10" ht="16.5" customHeight="1" x14ac:dyDescent="0.25"/>
    <row r="39" spans="2:10" ht="16.5" customHeight="1" x14ac:dyDescent="0.25"/>
    <row r="40" spans="2:10" ht="16.5" customHeight="1" x14ac:dyDescent="0.25"/>
    <row r="41" spans="2:10" ht="16.5" customHeight="1" x14ac:dyDescent="0.25"/>
    <row r="42" spans="2:10" ht="16.5" hidden="1" customHeight="1" x14ac:dyDescent="0.2"/>
    <row r="43" spans="2:10" ht="16.5" hidden="1" customHeight="1" x14ac:dyDescent="0.2"/>
    <row r="44" spans="2:10" ht="16.5" hidden="1" customHeight="1" x14ac:dyDescent="0.2"/>
    <row r="45" spans="2:10" ht="16.5" hidden="1" customHeight="1" x14ac:dyDescent="0.2"/>
    <row r="46" spans="2:10" ht="16.5" hidden="1" customHeight="1" x14ac:dyDescent="0.2"/>
    <row r="47" spans="2:10" ht="16.5" hidden="1" customHeight="1" x14ac:dyDescent="0.2"/>
    <row r="48" spans="2:10" ht="16.5" hidden="1" customHeight="1" x14ac:dyDescent="0.2"/>
    <row r="49" ht="16.5" hidden="1" customHeight="1" x14ac:dyDescent="0.2"/>
    <row r="50" ht="16.5" hidden="1" customHeight="1" x14ac:dyDescent="0.2"/>
    <row r="51" ht="16.5" hidden="1" customHeight="1" x14ac:dyDescent="0.2"/>
    <row r="52" ht="16.5" hidden="1" customHeight="1" x14ac:dyDescent="0.2"/>
    <row r="53" ht="16.5" hidden="1" customHeight="1" x14ac:dyDescent="0.2"/>
    <row r="54" ht="16.5" hidden="1" customHeight="1" x14ac:dyDescent="0.2"/>
    <row r="55" ht="16.5" hidden="1" customHeight="1" x14ac:dyDescent="0.2"/>
    <row r="56" ht="16.5" hidden="1" customHeight="1" x14ac:dyDescent="0.2"/>
    <row r="57" ht="16.5" hidden="1" customHeight="1" x14ac:dyDescent="0.2"/>
    <row r="58" ht="16.5" hidden="1" customHeight="1" x14ac:dyDescent="0.2"/>
    <row r="59" ht="16.5" hidden="1" customHeight="1" x14ac:dyDescent="0.2"/>
    <row r="60" ht="16.5" hidden="1" customHeight="1" x14ac:dyDescent="0.2"/>
    <row r="61" ht="16.5" hidden="1" customHeight="1" x14ac:dyDescent="0.2"/>
    <row r="62" ht="16.5" hidden="1" customHeight="1" x14ac:dyDescent="0.2"/>
    <row r="63" ht="16.5" hidden="1" customHeight="1" x14ac:dyDescent="0.2"/>
    <row r="64" ht="16.5" hidden="1" customHeight="1" x14ac:dyDescent="0.2"/>
    <row r="65" ht="16.5" hidden="1" customHeight="1" x14ac:dyDescent="0.2"/>
  </sheetData>
  <sheetProtection algorithmName="SHA-512" hashValue="pDuMEknsR7is7/BVwccAcBTo9zU3UxB45UfisWXd37UN8lxOzoGRqGa7Wpmrw1MjhCvgkkjf7lHX7/YyO1DJfQ==" saltValue="WiD5/0zsNPeXQb++q/sWCw==" spinCount="100000" sheet="1" objects="1" scenarios="1" sort="0" autoFilter="0"/>
  <mergeCells count="28">
    <mergeCell ref="C5:E5"/>
    <mergeCell ref="B9:G9"/>
    <mergeCell ref="C3:D3"/>
    <mergeCell ref="B15:G15"/>
    <mergeCell ref="B24:G24"/>
    <mergeCell ref="B16:G16"/>
    <mergeCell ref="B17:G17"/>
    <mergeCell ref="B7:G7"/>
    <mergeCell ref="B11:G11"/>
    <mergeCell ref="B12:G12"/>
    <mergeCell ref="B13:G13"/>
    <mergeCell ref="B14:G14"/>
    <mergeCell ref="B25:G25"/>
    <mergeCell ref="B27:G27"/>
    <mergeCell ref="B18:G18"/>
    <mergeCell ref="B20:G20"/>
    <mergeCell ref="B21:G21"/>
    <mergeCell ref="B22:G22"/>
    <mergeCell ref="B19:G19"/>
    <mergeCell ref="B23:G23"/>
    <mergeCell ref="B35:G35"/>
    <mergeCell ref="B36:G36"/>
    <mergeCell ref="B29:G29"/>
    <mergeCell ref="B30:G30"/>
    <mergeCell ref="B31:G31"/>
    <mergeCell ref="B32:G32"/>
    <mergeCell ref="B33:G33"/>
    <mergeCell ref="B34:G34"/>
  </mergeCells>
  <hyperlinks>
    <hyperlink ref="B1" location="ÍNDICE!A1" display="BACK TO INDEX" xr:uid="{00000000-0004-0000-1300-000000000000}"/>
  </hyperlinks>
  <pageMargins left="0.70866141732283472" right="0.70866141732283472" top="0.74803149606299213" bottom="0.74803149606299213" header="0.31496062992125984" footer="0.31496062992125984"/>
  <pageSetup scale="62"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50"/>
  <sheetViews>
    <sheetView showGridLines="0" zoomScale="85" zoomScaleNormal="85" workbookViewId="0">
      <pane ySplit="1" topLeftCell="A29" activePane="bottomLeft" state="frozen"/>
      <selection pane="bottomLeft" activeCell="G49" sqref="G49"/>
    </sheetView>
  </sheetViews>
  <sheetFormatPr defaultColWidth="0" defaultRowHeight="15" customHeight="1" zeroHeight="1" x14ac:dyDescent="0.25"/>
  <cols>
    <col min="1" max="1" width="1.140625" style="3" customWidth="1"/>
    <col min="2" max="2" width="24.42578125" style="4" customWidth="1"/>
    <col min="3" max="3" width="21.7109375" style="3" customWidth="1"/>
    <col min="4" max="4" width="13.28515625" style="3" customWidth="1"/>
    <col min="5" max="5" width="19.28515625" style="3" customWidth="1"/>
    <col min="6" max="6" width="22.42578125" style="3" customWidth="1"/>
    <col min="7" max="7" width="53" style="3" customWidth="1"/>
    <col min="8" max="8" width="1.140625" style="3" customWidth="1"/>
    <col min="9" max="16384" width="9.140625" style="3" hidden="1"/>
  </cols>
  <sheetData>
    <row r="1" spans="1:10" ht="21" customHeight="1" x14ac:dyDescent="0.2">
      <c r="A1" s="2"/>
      <c r="B1" s="167" t="s">
        <v>29</v>
      </c>
      <c r="C1" s="2"/>
      <c r="D1" s="2"/>
      <c r="E1" s="2"/>
      <c r="F1" s="2"/>
      <c r="G1" s="2"/>
      <c r="H1" s="2"/>
    </row>
    <row r="2" spans="1:10" ht="15" customHeight="1" x14ac:dyDescent="0.2"/>
    <row r="3" spans="1:10" ht="15" customHeight="1" x14ac:dyDescent="0.25">
      <c r="C3" s="491" t="s">
        <v>37</v>
      </c>
      <c r="D3" s="492"/>
      <c r="E3" s="186">
        <f>IF(COVER!E6&lt;&gt;"",COVER!E6,"")</f>
        <v>2021</v>
      </c>
    </row>
    <row r="4" spans="1:10" ht="15" customHeight="1" x14ac:dyDescent="0.2"/>
    <row r="5" spans="1:10" ht="20.25" customHeight="1" x14ac:dyDescent="0.2">
      <c r="B5" s="5" t="s">
        <v>4</v>
      </c>
      <c r="C5" s="416" t="str">
        <f>IF(COVER!E8&lt;&gt;"",COVER!E8,"")</f>
        <v>POWER BLOX AFRICA, S.A.</v>
      </c>
      <c r="D5" s="430"/>
      <c r="E5" s="461"/>
    </row>
    <row r="6" spans="1:10" ht="15" customHeight="1" x14ac:dyDescent="0.2"/>
    <row r="7" spans="1:10" s="6" customFormat="1" ht="30.75" customHeight="1" x14ac:dyDescent="0.2">
      <c r="B7" s="376" t="s">
        <v>499</v>
      </c>
      <c r="C7" s="404"/>
      <c r="D7" s="404"/>
      <c r="E7" s="404"/>
      <c r="F7" s="404"/>
      <c r="G7" s="377"/>
    </row>
    <row r="8" spans="1:10" ht="15" customHeight="1" x14ac:dyDescent="0.2"/>
    <row r="9" spans="1:10" s="6" customFormat="1" ht="30.75" customHeight="1" x14ac:dyDescent="0.25">
      <c r="B9" s="489" t="s">
        <v>500</v>
      </c>
      <c r="C9" s="490"/>
      <c r="D9" s="490"/>
      <c r="E9" s="490"/>
      <c r="F9" s="490"/>
      <c r="G9" s="377"/>
    </row>
    <row r="10" spans="1:10" x14ac:dyDescent="0.2"/>
    <row r="11" spans="1:10" ht="21" customHeight="1" x14ac:dyDescent="0.25">
      <c r="B11" s="300" t="s">
        <v>502</v>
      </c>
      <c r="C11" s="496" t="s">
        <v>503</v>
      </c>
      <c r="D11" s="497"/>
      <c r="E11" s="497"/>
      <c r="F11" s="498"/>
      <c r="G11" s="300" t="s">
        <v>505</v>
      </c>
      <c r="J11" s="11"/>
    </row>
    <row r="12" spans="1:10" ht="4.5" customHeight="1" x14ac:dyDescent="0.2"/>
    <row r="13" spans="1:10" ht="29.25" customHeight="1" x14ac:dyDescent="0.25">
      <c r="B13" s="493"/>
      <c r="C13" s="454"/>
      <c r="D13" s="488"/>
      <c r="E13" s="488"/>
      <c r="F13" s="453"/>
      <c r="G13" s="270"/>
      <c r="J13" s="11"/>
    </row>
    <row r="14" spans="1:10" ht="29.25" customHeight="1" x14ac:dyDescent="0.25">
      <c r="B14" s="494"/>
      <c r="C14" s="454"/>
      <c r="D14" s="488"/>
      <c r="E14" s="488"/>
      <c r="F14" s="453"/>
      <c r="G14" s="270"/>
      <c r="J14" s="11"/>
    </row>
    <row r="15" spans="1:10" ht="29.25" customHeight="1" x14ac:dyDescent="0.25">
      <c r="B15" s="494"/>
      <c r="C15" s="454"/>
      <c r="D15" s="488"/>
      <c r="E15" s="488"/>
      <c r="F15" s="453"/>
      <c r="G15" s="270"/>
      <c r="J15" s="11"/>
    </row>
    <row r="16" spans="1:10" ht="29.25" customHeight="1" x14ac:dyDescent="0.25">
      <c r="B16" s="494"/>
      <c r="C16" s="301"/>
      <c r="D16" s="302"/>
      <c r="E16" s="302"/>
      <c r="F16" s="303"/>
      <c r="G16" s="270"/>
      <c r="J16" s="11"/>
    </row>
    <row r="17" spans="2:10" ht="29.25" customHeight="1" x14ac:dyDescent="0.25">
      <c r="B17" s="494"/>
      <c r="C17" s="454"/>
      <c r="D17" s="488"/>
      <c r="E17" s="488"/>
      <c r="F17" s="453"/>
      <c r="G17" s="270"/>
      <c r="J17" s="11"/>
    </row>
    <row r="18" spans="2:10" ht="29.25" customHeight="1" x14ac:dyDescent="0.25">
      <c r="B18" s="494"/>
      <c r="C18" s="301"/>
      <c r="D18" s="302"/>
      <c r="E18" s="302"/>
      <c r="F18" s="303"/>
      <c r="G18" s="270"/>
      <c r="J18" s="11"/>
    </row>
    <row r="19" spans="2:10" ht="29.25" customHeight="1" x14ac:dyDescent="0.25">
      <c r="B19" s="495"/>
      <c r="C19" s="301"/>
      <c r="D19" s="302"/>
      <c r="E19" s="302"/>
      <c r="F19" s="303"/>
      <c r="G19" s="270"/>
      <c r="J19" s="11"/>
    </row>
    <row r="20" spans="2:10" ht="4.5" customHeight="1" x14ac:dyDescent="0.2"/>
    <row r="21" spans="2:10" ht="29.25" customHeight="1" x14ac:dyDescent="0.25">
      <c r="B21" s="493"/>
      <c r="C21" s="454"/>
      <c r="D21" s="488"/>
      <c r="E21" s="488"/>
      <c r="F21" s="453"/>
      <c r="G21" s="270"/>
      <c r="J21" s="11"/>
    </row>
    <row r="22" spans="2:10" ht="29.25" customHeight="1" x14ac:dyDescent="0.25">
      <c r="B22" s="494"/>
      <c r="C22" s="454"/>
      <c r="D22" s="488"/>
      <c r="E22" s="488"/>
      <c r="F22" s="453"/>
      <c r="G22" s="270"/>
      <c r="J22" s="11"/>
    </row>
    <row r="23" spans="2:10" ht="29.25" customHeight="1" x14ac:dyDescent="0.25">
      <c r="B23" s="494"/>
      <c r="C23" s="454"/>
      <c r="D23" s="488"/>
      <c r="E23" s="488"/>
      <c r="F23" s="453"/>
      <c r="G23" s="270"/>
      <c r="J23" s="11"/>
    </row>
    <row r="24" spans="2:10" ht="29.25" customHeight="1" x14ac:dyDescent="0.25">
      <c r="B24" s="494"/>
      <c r="C24" s="301"/>
      <c r="D24" s="302"/>
      <c r="E24" s="302"/>
      <c r="F24" s="303"/>
      <c r="G24" s="270"/>
      <c r="J24" s="11"/>
    </row>
    <row r="25" spans="2:10" ht="29.25" customHeight="1" x14ac:dyDescent="0.25">
      <c r="B25" s="494"/>
      <c r="C25" s="454"/>
      <c r="D25" s="488"/>
      <c r="E25" s="488"/>
      <c r="F25" s="453"/>
      <c r="G25" s="270"/>
      <c r="J25" s="11"/>
    </row>
    <row r="26" spans="2:10" ht="29.25" customHeight="1" x14ac:dyDescent="0.25">
      <c r="B26" s="494"/>
      <c r="C26" s="301"/>
      <c r="D26" s="302"/>
      <c r="E26" s="302"/>
      <c r="F26" s="303"/>
      <c r="G26" s="270"/>
      <c r="J26" s="11"/>
    </row>
    <row r="27" spans="2:10" ht="29.25" customHeight="1" x14ac:dyDescent="0.25">
      <c r="B27" s="495"/>
      <c r="C27" s="301"/>
      <c r="D27" s="302"/>
      <c r="E27" s="302"/>
      <c r="F27" s="303"/>
      <c r="G27" s="270"/>
      <c r="J27" s="11"/>
    </row>
    <row r="28" spans="2:10" ht="16.5" customHeight="1" x14ac:dyDescent="0.2"/>
    <row r="29" spans="2:10" s="6" customFormat="1" ht="30.75" customHeight="1" x14ac:dyDescent="0.25">
      <c r="B29" s="489" t="s">
        <v>501</v>
      </c>
      <c r="C29" s="490"/>
      <c r="D29" s="490"/>
      <c r="E29" s="490"/>
      <c r="F29" s="490"/>
      <c r="G29" s="377"/>
    </row>
    <row r="30" spans="2:10" x14ac:dyDescent="0.2"/>
    <row r="31" spans="2:10" ht="21" customHeight="1" x14ac:dyDescent="0.25">
      <c r="B31" s="300" t="s">
        <v>502</v>
      </c>
      <c r="C31" s="496" t="s">
        <v>503</v>
      </c>
      <c r="D31" s="497"/>
      <c r="E31" s="497"/>
      <c r="F31" s="498"/>
      <c r="G31" s="300" t="s">
        <v>505</v>
      </c>
      <c r="J31" s="11"/>
    </row>
    <row r="32" spans="2:10" ht="4.5" customHeight="1" x14ac:dyDescent="0.2"/>
    <row r="33" spans="2:10" ht="29.25" customHeight="1" x14ac:dyDescent="0.25">
      <c r="B33" s="493"/>
      <c r="C33" s="454"/>
      <c r="D33" s="488"/>
      <c r="E33" s="488"/>
      <c r="F33" s="453"/>
      <c r="G33" s="270"/>
      <c r="J33" s="11"/>
    </row>
    <row r="34" spans="2:10" ht="29.25" customHeight="1" x14ac:dyDescent="0.25">
      <c r="B34" s="494"/>
      <c r="C34" s="454"/>
      <c r="D34" s="488"/>
      <c r="E34" s="488"/>
      <c r="F34" s="453"/>
      <c r="G34" s="270"/>
      <c r="J34" s="11"/>
    </row>
    <row r="35" spans="2:10" ht="29.25" customHeight="1" x14ac:dyDescent="0.25">
      <c r="B35" s="494"/>
      <c r="C35" s="454"/>
      <c r="D35" s="488"/>
      <c r="E35" s="488"/>
      <c r="F35" s="453"/>
      <c r="G35" s="270"/>
      <c r="J35" s="11"/>
    </row>
    <row r="36" spans="2:10" ht="29.25" customHeight="1" x14ac:dyDescent="0.25">
      <c r="B36" s="494"/>
      <c r="C36" s="301"/>
      <c r="D36" s="302"/>
      <c r="E36" s="302"/>
      <c r="F36" s="303"/>
      <c r="G36" s="270"/>
      <c r="J36" s="11"/>
    </row>
    <row r="37" spans="2:10" ht="29.25" customHeight="1" x14ac:dyDescent="0.25">
      <c r="B37" s="494"/>
      <c r="C37" s="454"/>
      <c r="D37" s="488"/>
      <c r="E37" s="488"/>
      <c r="F37" s="453"/>
      <c r="G37" s="270"/>
      <c r="J37" s="11"/>
    </row>
    <row r="38" spans="2:10" ht="29.25" customHeight="1" x14ac:dyDescent="0.25">
      <c r="B38" s="494"/>
      <c r="C38" s="301"/>
      <c r="D38" s="302"/>
      <c r="E38" s="302"/>
      <c r="F38" s="303"/>
      <c r="G38" s="270"/>
      <c r="J38" s="11"/>
    </row>
    <row r="39" spans="2:10" ht="29.25" customHeight="1" x14ac:dyDescent="0.25">
      <c r="B39" s="495"/>
      <c r="C39" s="301"/>
      <c r="D39" s="302"/>
      <c r="E39" s="302"/>
      <c r="F39" s="303"/>
      <c r="G39" s="270"/>
      <c r="J39" s="11"/>
    </row>
    <row r="40" spans="2:10" ht="4.5" customHeight="1" x14ac:dyDescent="0.25"/>
    <row r="41" spans="2:10" ht="29.25" customHeight="1" x14ac:dyDescent="0.25">
      <c r="B41" s="493"/>
      <c r="C41" s="454"/>
      <c r="D41" s="488"/>
      <c r="E41" s="488"/>
      <c r="F41" s="453"/>
      <c r="G41" s="270"/>
      <c r="J41" s="11"/>
    </row>
    <row r="42" spans="2:10" ht="29.25" customHeight="1" x14ac:dyDescent="0.25">
      <c r="B42" s="494"/>
      <c r="C42" s="454"/>
      <c r="D42" s="488"/>
      <c r="E42" s="488"/>
      <c r="F42" s="453"/>
      <c r="G42" s="270"/>
      <c r="J42" s="11"/>
    </row>
    <row r="43" spans="2:10" ht="29.25" customHeight="1" x14ac:dyDescent="0.25">
      <c r="B43" s="494"/>
      <c r="C43" s="454"/>
      <c r="D43" s="488"/>
      <c r="E43" s="488"/>
      <c r="F43" s="453"/>
      <c r="G43" s="270"/>
      <c r="J43" s="11"/>
    </row>
    <row r="44" spans="2:10" ht="29.25" customHeight="1" x14ac:dyDescent="0.25">
      <c r="B44" s="494"/>
      <c r="C44" s="301"/>
      <c r="D44" s="302"/>
      <c r="E44" s="302"/>
      <c r="F44" s="303"/>
      <c r="G44" s="270"/>
      <c r="J44" s="11"/>
    </row>
    <row r="45" spans="2:10" ht="29.25" customHeight="1" x14ac:dyDescent="0.25">
      <c r="B45" s="494"/>
      <c r="C45" s="454"/>
      <c r="D45" s="488"/>
      <c r="E45" s="488"/>
      <c r="F45" s="453"/>
      <c r="G45" s="270"/>
      <c r="J45" s="11"/>
    </row>
    <row r="46" spans="2:10" ht="29.25" customHeight="1" x14ac:dyDescent="0.25">
      <c r="B46" s="494"/>
      <c r="C46" s="301"/>
      <c r="D46" s="302"/>
      <c r="E46" s="302"/>
      <c r="F46" s="303"/>
      <c r="G46" s="270"/>
      <c r="J46" s="11"/>
    </row>
    <row r="47" spans="2:10" ht="29.25" customHeight="1" x14ac:dyDescent="0.25">
      <c r="B47" s="495"/>
      <c r="C47" s="301"/>
      <c r="D47" s="302"/>
      <c r="E47" s="302"/>
      <c r="F47" s="303"/>
      <c r="G47" s="270"/>
      <c r="J47" s="11"/>
    </row>
    <row r="48" spans="2:10" ht="16.5" customHeight="1" x14ac:dyDescent="0.25"/>
    <row r="49" ht="16.5" customHeight="1" x14ac:dyDescent="0.25"/>
    <row r="50" ht="16.5" customHeight="1" x14ac:dyDescent="0.25"/>
  </sheetData>
  <sheetProtection algorithmName="SHA-512" hashValue="774Fv0gXVq8P6zlAN36FsAvGyLti4Ek1kCaccUkmlrW7YpmbZ93aKuURM7LxY/3UvZKWbUVIpWT26DANTjaIqA==" saltValue="lLd6yh1Siv9+gbHGVkhlWw==" spinCount="100000" sheet="1" objects="1" scenarios="1" sort="0" autoFilter="0"/>
  <mergeCells count="27">
    <mergeCell ref="C35:F35"/>
    <mergeCell ref="C37:F37"/>
    <mergeCell ref="C11:F11"/>
    <mergeCell ref="C13:F13"/>
    <mergeCell ref="C3:D3"/>
    <mergeCell ref="C5:E5"/>
    <mergeCell ref="C14:F14"/>
    <mergeCell ref="C15:F15"/>
    <mergeCell ref="C17:F17"/>
    <mergeCell ref="B7:G7"/>
    <mergeCell ref="B9:G9"/>
    <mergeCell ref="B41:B47"/>
    <mergeCell ref="C41:F41"/>
    <mergeCell ref="C42:F42"/>
    <mergeCell ref="B13:B19"/>
    <mergeCell ref="B21:B27"/>
    <mergeCell ref="C21:F21"/>
    <mergeCell ref="C43:F43"/>
    <mergeCell ref="C45:F45"/>
    <mergeCell ref="B29:G29"/>
    <mergeCell ref="C22:F22"/>
    <mergeCell ref="C23:F23"/>
    <mergeCell ref="C25:F25"/>
    <mergeCell ref="C31:F31"/>
    <mergeCell ref="B33:B39"/>
    <mergeCell ref="C33:F33"/>
    <mergeCell ref="C34:F34"/>
  </mergeCells>
  <hyperlinks>
    <hyperlink ref="B1" location="ÍNDICE!A1" display="BACK TO INDEX" xr:uid="{00000000-0004-0000-1400-000000000000}"/>
  </hyperlinks>
  <pageMargins left="0.70866141732283472" right="0.70866141732283472" top="0.74803149606299213" bottom="0.74803149606299213" header="0.31496062992125984" footer="0.31496062992125984"/>
  <pageSetup scale="57"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J29"/>
  <sheetViews>
    <sheetView showGridLines="0" zoomScale="85" zoomScaleNormal="85" workbookViewId="0">
      <pane ySplit="1" topLeftCell="A2" activePane="bottomLeft" state="frozen"/>
      <selection pane="bottomLeft" activeCell="G27" sqref="G27"/>
    </sheetView>
  </sheetViews>
  <sheetFormatPr defaultColWidth="0" defaultRowHeight="15" customHeight="1" zeroHeight="1" x14ac:dyDescent="0.25"/>
  <cols>
    <col min="1" max="1" width="1.140625" style="3" customWidth="1"/>
    <col min="2" max="2" width="27.85546875" style="4" customWidth="1"/>
    <col min="3" max="3" width="21.7109375" style="3" customWidth="1"/>
    <col min="4" max="4" width="13.28515625" style="3" customWidth="1"/>
    <col min="5" max="5" width="19.28515625" style="3" customWidth="1"/>
    <col min="6" max="6" width="14.140625" style="3" customWidth="1"/>
    <col min="7" max="7" width="56" style="3" customWidth="1"/>
    <col min="8" max="8" width="1.140625" style="3" customWidth="1"/>
    <col min="9" max="16384" width="9.140625" style="3" hidden="1"/>
  </cols>
  <sheetData>
    <row r="1" spans="1:10" ht="21" customHeight="1" x14ac:dyDescent="0.2">
      <c r="A1" s="2"/>
      <c r="B1" s="167" t="s">
        <v>29</v>
      </c>
      <c r="C1" s="2"/>
      <c r="D1" s="2"/>
      <c r="E1" s="2"/>
      <c r="F1" s="2"/>
      <c r="G1" s="2"/>
      <c r="H1" s="2"/>
    </row>
    <row r="2" spans="1:10" ht="15" customHeight="1" x14ac:dyDescent="0.2"/>
    <row r="3" spans="1:10" ht="15" customHeight="1" x14ac:dyDescent="0.25">
      <c r="C3" s="491" t="s">
        <v>37</v>
      </c>
      <c r="D3" s="492"/>
      <c r="E3" s="186">
        <f>IF(COVER!E6&lt;&gt;"",COVER!E6,"")</f>
        <v>2021</v>
      </c>
    </row>
    <row r="4" spans="1:10" ht="15" customHeight="1" x14ac:dyDescent="0.2"/>
    <row r="5" spans="1:10" ht="20.25" customHeight="1" x14ac:dyDescent="0.2">
      <c r="B5" s="5" t="s">
        <v>4</v>
      </c>
      <c r="C5" s="416" t="str">
        <f>IF(COVER!E8&lt;&gt;"",COVER!E8,"")</f>
        <v>POWER BLOX AFRICA, S.A.</v>
      </c>
      <c r="D5" s="430"/>
      <c r="E5" s="461"/>
    </row>
    <row r="6" spans="1:10" ht="15" customHeight="1" x14ac:dyDescent="0.2"/>
    <row r="7" spans="1:10" s="6" customFormat="1" ht="30.75" customHeight="1" x14ac:dyDescent="0.25">
      <c r="B7" s="376" t="s">
        <v>506</v>
      </c>
      <c r="C7" s="404"/>
      <c r="D7" s="404"/>
      <c r="E7" s="404"/>
      <c r="F7" s="404"/>
      <c r="G7" s="377"/>
    </row>
    <row r="8" spans="1:10" x14ac:dyDescent="0.2"/>
    <row r="9" spans="1:10" ht="27" customHeight="1" x14ac:dyDescent="0.25">
      <c r="B9" s="300" t="s">
        <v>507</v>
      </c>
      <c r="C9" s="496" t="s">
        <v>508</v>
      </c>
      <c r="D9" s="497"/>
      <c r="E9" s="497"/>
      <c r="F9" s="498"/>
      <c r="G9" s="300" t="s">
        <v>510</v>
      </c>
      <c r="J9" s="11"/>
    </row>
    <row r="10" spans="1:10" ht="12.75" customHeight="1" x14ac:dyDescent="0.25"/>
    <row r="11" spans="1:10" ht="29.25" customHeight="1" x14ac:dyDescent="0.25">
      <c r="B11" s="304" t="s">
        <v>509</v>
      </c>
      <c r="C11" s="499"/>
      <c r="D11" s="500"/>
      <c r="E11" s="500"/>
      <c r="F11" s="500"/>
      <c r="G11" s="501"/>
      <c r="J11" s="11"/>
    </row>
    <row r="12" spans="1:10" ht="63.75" customHeight="1" x14ac:dyDescent="0.25">
      <c r="B12" s="502">
        <f>IF(E3&lt;&gt;"",E3,"")</f>
        <v>2021</v>
      </c>
      <c r="C12" s="505"/>
      <c r="D12" s="506"/>
      <c r="E12" s="506"/>
      <c r="F12" s="507"/>
      <c r="G12" s="305"/>
      <c r="J12" s="11"/>
    </row>
    <row r="13" spans="1:10" ht="63.75" customHeight="1" x14ac:dyDescent="0.25">
      <c r="B13" s="503"/>
      <c r="C13" s="454"/>
      <c r="D13" s="488"/>
      <c r="E13" s="488"/>
      <c r="F13" s="453"/>
      <c r="G13" s="270"/>
      <c r="J13" s="11"/>
    </row>
    <row r="14" spans="1:10" ht="63.75" customHeight="1" x14ac:dyDescent="0.25">
      <c r="B14" s="503"/>
      <c r="C14" s="301"/>
      <c r="D14" s="302"/>
      <c r="E14" s="302"/>
      <c r="F14" s="303"/>
      <c r="G14" s="270"/>
      <c r="J14" s="11"/>
    </row>
    <row r="15" spans="1:10" ht="63.75" customHeight="1" x14ac:dyDescent="0.25">
      <c r="B15" s="503"/>
      <c r="C15" s="454"/>
      <c r="D15" s="488"/>
      <c r="E15" s="488"/>
      <c r="F15" s="453"/>
      <c r="G15" s="270"/>
      <c r="J15" s="11"/>
    </row>
    <row r="16" spans="1:10" ht="63.75" customHeight="1" x14ac:dyDescent="0.25">
      <c r="B16" s="503"/>
      <c r="C16" s="301"/>
      <c r="D16" s="302"/>
      <c r="E16" s="302"/>
      <c r="F16" s="303"/>
      <c r="G16" s="270"/>
      <c r="J16" s="11"/>
    </row>
    <row r="17" spans="2:10" ht="63.75" customHeight="1" x14ac:dyDescent="0.25">
      <c r="B17" s="504"/>
      <c r="C17" s="301"/>
      <c r="D17" s="302"/>
      <c r="E17" s="302"/>
      <c r="F17" s="303"/>
      <c r="G17" s="270"/>
      <c r="J17" s="11"/>
    </row>
    <row r="18" spans="2:10" ht="15" customHeight="1" x14ac:dyDescent="0.25"/>
    <row r="19" spans="2:10" ht="29.25" customHeight="1" x14ac:dyDescent="0.25">
      <c r="B19" s="304" t="s">
        <v>509</v>
      </c>
      <c r="C19" s="499"/>
      <c r="D19" s="500"/>
      <c r="E19" s="500"/>
      <c r="F19" s="500"/>
      <c r="G19" s="501"/>
      <c r="J19" s="11"/>
    </row>
    <row r="20" spans="2:10" ht="63.75" customHeight="1" x14ac:dyDescent="0.25">
      <c r="B20" s="502">
        <f>IF(B12&lt;&gt;"",B12-1,"")</f>
        <v>2020</v>
      </c>
      <c r="C20" s="505"/>
      <c r="D20" s="506"/>
      <c r="E20" s="506"/>
      <c r="F20" s="507"/>
      <c r="G20" s="305"/>
      <c r="J20" s="11"/>
    </row>
    <row r="21" spans="2:10" ht="63.75" customHeight="1" x14ac:dyDescent="0.25">
      <c r="B21" s="503"/>
      <c r="C21" s="454"/>
      <c r="D21" s="488"/>
      <c r="E21" s="488"/>
      <c r="F21" s="453"/>
      <c r="G21" s="270"/>
      <c r="J21" s="11"/>
    </row>
    <row r="22" spans="2:10" ht="63.75" customHeight="1" x14ac:dyDescent="0.25">
      <c r="B22" s="503"/>
      <c r="C22" s="301"/>
      <c r="D22" s="302"/>
      <c r="E22" s="302"/>
      <c r="F22" s="303"/>
      <c r="G22" s="270"/>
      <c r="J22" s="11"/>
    </row>
    <row r="23" spans="2:10" ht="63.75" customHeight="1" x14ac:dyDescent="0.25">
      <c r="B23" s="503"/>
      <c r="C23" s="454"/>
      <c r="D23" s="488"/>
      <c r="E23" s="488"/>
      <c r="F23" s="453"/>
      <c r="G23" s="270"/>
      <c r="J23" s="11"/>
    </row>
    <row r="24" spans="2:10" ht="63.75" customHeight="1" x14ac:dyDescent="0.25">
      <c r="B24" s="503"/>
      <c r="C24" s="301"/>
      <c r="D24" s="302"/>
      <c r="E24" s="302"/>
      <c r="F24" s="303"/>
      <c r="G24" s="270"/>
      <c r="J24" s="11"/>
    </row>
    <row r="25" spans="2:10" ht="63.75" customHeight="1" x14ac:dyDescent="0.25">
      <c r="B25" s="504"/>
      <c r="C25" s="301"/>
      <c r="D25" s="302"/>
      <c r="E25" s="302"/>
      <c r="F25" s="303"/>
      <c r="G25" s="270"/>
      <c r="J25" s="11"/>
    </row>
    <row r="26" spans="2:10" ht="15" customHeight="1" x14ac:dyDescent="0.25"/>
    <row r="27" spans="2:10" ht="15" customHeight="1" x14ac:dyDescent="0.25"/>
    <row r="28" spans="2:10" ht="15" customHeight="1" x14ac:dyDescent="0.25"/>
    <row r="29" spans="2:10" ht="15" customHeight="1" x14ac:dyDescent="0.25"/>
  </sheetData>
  <sheetProtection algorithmName="SHA-512" hashValue="CEt0W/0tXyHBSsRk0MzDDgVuSyjihYyH2AN1ERxCOZ1fZhiHR+q9cM/vpbYAY68Ebn/6/TdyS/yQWDUxrX7NRg==" saltValue="UEAJnlsKRgx93UVhYpzzzw==" spinCount="100000" sheet="1" objects="1" scenarios="1" sort="0" autoFilter="0"/>
  <mergeCells count="14">
    <mergeCell ref="C3:D3"/>
    <mergeCell ref="C5:E5"/>
    <mergeCell ref="B7:G7"/>
    <mergeCell ref="C9:F9"/>
    <mergeCell ref="C12:F12"/>
    <mergeCell ref="C11:G11"/>
    <mergeCell ref="C19:G19"/>
    <mergeCell ref="B20:B25"/>
    <mergeCell ref="B12:B17"/>
    <mergeCell ref="C20:F20"/>
    <mergeCell ref="C21:F21"/>
    <mergeCell ref="C23:F23"/>
    <mergeCell ref="C13:F13"/>
    <mergeCell ref="C15:F15"/>
  </mergeCells>
  <hyperlinks>
    <hyperlink ref="B1" location="ÍNDICE!A1" display="BACK TO INDEX" xr:uid="{00000000-0004-0000-1500-000000000000}"/>
  </hyperlinks>
  <pageMargins left="0.70866141732283472" right="0.70866141732283472" top="0.74803149606299213" bottom="0.74803149606299213" header="0.31496062992125984" footer="0.31496062992125984"/>
  <pageSetup scale="57"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J29"/>
  <sheetViews>
    <sheetView showGridLines="0" zoomScale="85" zoomScaleNormal="85" workbookViewId="0">
      <pane ySplit="1" topLeftCell="A2" activePane="bottomLeft" state="frozen"/>
      <selection pane="bottomLeft" activeCell="G27" sqref="G27"/>
    </sheetView>
  </sheetViews>
  <sheetFormatPr defaultColWidth="0" defaultRowHeight="15" customHeight="1" zeroHeight="1" x14ac:dyDescent="0.25"/>
  <cols>
    <col min="1" max="1" width="1.140625" style="3" customWidth="1"/>
    <col min="2" max="2" width="27.85546875" style="4" customWidth="1"/>
    <col min="3" max="3" width="21.7109375" style="3" customWidth="1"/>
    <col min="4" max="4" width="13.28515625" style="3" customWidth="1"/>
    <col min="5" max="5" width="19.28515625" style="3" customWidth="1"/>
    <col min="6" max="6" width="14.140625" style="3" customWidth="1"/>
    <col min="7" max="7" width="56" style="3" customWidth="1"/>
    <col min="8" max="8" width="1.140625" style="3" customWidth="1"/>
    <col min="9" max="16384" width="9.140625" style="3" hidden="1"/>
  </cols>
  <sheetData>
    <row r="1" spans="1:10" ht="21" customHeight="1" x14ac:dyDescent="0.2">
      <c r="A1" s="2"/>
      <c r="B1" s="167" t="s">
        <v>29</v>
      </c>
      <c r="C1" s="2"/>
      <c r="D1" s="2"/>
      <c r="E1" s="2"/>
      <c r="F1" s="2"/>
      <c r="G1" s="2"/>
      <c r="H1" s="2"/>
    </row>
    <row r="2" spans="1:10" ht="15" customHeight="1" x14ac:dyDescent="0.2"/>
    <row r="3" spans="1:10" ht="15" customHeight="1" x14ac:dyDescent="0.25">
      <c r="C3" s="491" t="s">
        <v>37</v>
      </c>
      <c r="D3" s="492"/>
      <c r="E3" s="186">
        <f>IF(COVER!E6&lt;&gt;"",COVER!E6,"")</f>
        <v>2021</v>
      </c>
    </row>
    <row r="4" spans="1:10" ht="15" customHeight="1" x14ac:dyDescent="0.2"/>
    <row r="5" spans="1:10" ht="20.25" customHeight="1" x14ac:dyDescent="0.2">
      <c r="B5" s="5" t="s">
        <v>4</v>
      </c>
      <c r="C5" s="416" t="str">
        <f>IF(COVER!E8&lt;&gt;"",COVER!E8,"")</f>
        <v>POWER BLOX AFRICA, S.A.</v>
      </c>
      <c r="D5" s="430"/>
      <c r="E5" s="461"/>
    </row>
    <row r="6" spans="1:10" ht="15" customHeight="1" x14ac:dyDescent="0.2"/>
    <row r="7" spans="1:10" s="6" customFormat="1" ht="30.75" customHeight="1" x14ac:dyDescent="0.25">
      <c r="B7" s="376" t="s">
        <v>515</v>
      </c>
      <c r="C7" s="404"/>
      <c r="D7" s="404"/>
      <c r="E7" s="404"/>
      <c r="F7" s="404"/>
      <c r="G7" s="377"/>
    </row>
    <row r="8" spans="1:10" x14ac:dyDescent="0.2"/>
    <row r="9" spans="1:10" ht="27" customHeight="1" x14ac:dyDescent="0.25">
      <c r="B9" s="300" t="s">
        <v>507</v>
      </c>
      <c r="C9" s="496" t="s">
        <v>516</v>
      </c>
      <c r="D9" s="497"/>
      <c r="E9" s="497"/>
      <c r="F9" s="498"/>
      <c r="G9" s="300" t="s">
        <v>510</v>
      </c>
      <c r="J9" s="11"/>
    </row>
    <row r="10" spans="1:10" ht="12.75" customHeight="1" x14ac:dyDescent="0.25"/>
    <row r="11" spans="1:10" ht="29.25" customHeight="1" x14ac:dyDescent="0.25">
      <c r="B11" s="304" t="s">
        <v>517</v>
      </c>
      <c r="C11" s="499"/>
      <c r="D11" s="500"/>
      <c r="E11" s="500"/>
      <c r="F11" s="500"/>
      <c r="G11" s="501"/>
      <c r="J11" s="11"/>
    </row>
    <row r="12" spans="1:10" ht="63.75" customHeight="1" x14ac:dyDescent="0.25">
      <c r="B12" s="502">
        <f>IF(E3&lt;&gt;"",E3,"")</f>
        <v>2021</v>
      </c>
      <c r="C12" s="505"/>
      <c r="D12" s="506"/>
      <c r="E12" s="506"/>
      <c r="F12" s="507"/>
      <c r="G12" s="305"/>
      <c r="J12" s="11"/>
    </row>
    <row r="13" spans="1:10" ht="63.75" customHeight="1" x14ac:dyDescent="0.25">
      <c r="B13" s="503"/>
      <c r="C13" s="454"/>
      <c r="D13" s="488"/>
      <c r="E13" s="488"/>
      <c r="F13" s="453"/>
      <c r="G13" s="270"/>
      <c r="J13" s="11"/>
    </row>
    <row r="14" spans="1:10" ht="63.75" customHeight="1" x14ac:dyDescent="0.25">
      <c r="B14" s="503"/>
      <c r="C14" s="301"/>
      <c r="D14" s="302"/>
      <c r="E14" s="302"/>
      <c r="F14" s="303"/>
      <c r="G14" s="270"/>
      <c r="J14" s="11"/>
    </row>
    <row r="15" spans="1:10" ht="63.75" customHeight="1" x14ac:dyDescent="0.25">
      <c r="B15" s="503"/>
      <c r="C15" s="454"/>
      <c r="D15" s="488"/>
      <c r="E15" s="488"/>
      <c r="F15" s="453"/>
      <c r="G15" s="270"/>
      <c r="J15" s="11"/>
    </row>
    <row r="16" spans="1:10" ht="63.75" customHeight="1" x14ac:dyDescent="0.25">
      <c r="B16" s="503"/>
      <c r="C16" s="301"/>
      <c r="D16" s="302"/>
      <c r="E16" s="302"/>
      <c r="F16" s="303"/>
      <c r="G16" s="270"/>
      <c r="J16" s="11"/>
    </row>
    <row r="17" spans="2:10" ht="63.75" customHeight="1" x14ac:dyDescent="0.25">
      <c r="B17" s="504"/>
      <c r="C17" s="301"/>
      <c r="D17" s="302"/>
      <c r="E17" s="302"/>
      <c r="F17" s="303"/>
      <c r="G17" s="270"/>
      <c r="J17" s="11"/>
    </row>
    <row r="18" spans="2:10" ht="15" customHeight="1" x14ac:dyDescent="0.25"/>
    <row r="19" spans="2:10" ht="29.25" customHeight="1" x14ac:dyDescent="0.25">
      <c r="B19" s="304" t="s">
        <v>517</v>
      </c>
      <c r="C19" s="499"/>
      <c r="D19" s="500"/>
      <c r="E19" s="500"/>
      <c r="F19" s="500"/>
      <c r="G19" s="501"/>
      <c r="J19" s="11"/>
    </row>
    <row r="20" spans="2:10" ht="63.75" customHeight="1" x14ac:dyDescent="0.25">
      <c r="B20" s="502">
        <f>IF(B12&lt;&gt;"",B12-1,"")</f>
        <v>2020</v>
      </c>
      <c r="C20" s="505"/>
      <c r="D20" s="506"/>
      <c r="E20" s="506"/>
      <c r="F20" s="507"/>
      <c r="G20" s="305"/>
      <c r="J20" s="11"/>
    </row>
    <row r="21" spans="2:10" ht="63.75" customHeight="1" x14ac:dyDescent="0.25">
      <c r="B21" s="503"/>
      <c r="C21" s="454"/>
      <c r="D21" s="488"/>
      <c r="E21" s="488"/>
      <c r="F21" s="453"/>
      <c r="G21" s="270"/>
      <c r="J21" s="11"/>
    </row>
    <row r="22" spans="2:10" ht="63.75" customHeight="1" x14ac:dyDescent="0.25">
      <c r="B22" s="503"/>
      <c r="C22" s="301"/>
      <c r="D22" s="302"/>
      <c r="E22" s="302"/>
      <c r="F22" s="303"/>
      <c r="G22" s="270"/>
      <c r="J22" s="11"/>
    </row>
    <row r="23" spans="2:10" ht="63.75" customHeight="1" x14ac:dyDescent="0.25">
      <c r="B23" s="503"/>
      <c r="C23" s="454"/>
      <c r="D23" s="488"/>
      <c r="E23" s="488"/>
      <c r="F23" s="453"/>
      <c r="G23" s="270"/>
      <c r="J23" s="11"/>
    </row>
    <row r="24" spans="2:10" ht="63.75" customHeight="1" x14ac:dyDescent="0.25">
      <c r="B24" s="503"/>
      <c r="C24" s="301"/>
      <c r="D24" s="302"/>
      <c r="E24" s="302"/>
      <c r="F24" s="303"/>
      <c r="G24" s="270"/>
      <c r="J24" s="11"/>
    </row>
    <row r="25" spans="2:10" ht="63.75" customHeight="1" x14ac:dyDescent="0.25">
      <c r="B25" s="504"/>
      <c r="C25" s="301"/>
      <c r="D25" s="302"/>
      <c r="E25" s="302"/>
      <c r="F25" s="303"/>
      <c r="G25" s="270"/>
      <c r="J25" s="11"/>
    </row>
    <row r="26" spans="2:10" ht="15" customHeight="1" x14ac:dyDescent="0.25"/>
    <row r="27" spans="2:10" ht="15" customHeight="1" x14ac:dyDescent="0.25"/>
    <row r="28" spans="2:10" ht="15" customHeight="1" x14ac:dyDescent="0.25"/>
    <row r="29" spans="2:10" ht="15" customHeight="1" x14ac:dyDescent="0.25"/>
  </sheetData>
  <sheetProtection algorithmName="SHA-512" hashValue="WRBoWyjb9OIt8L/Hu367rGhx/EIWx7oI2tyHjV/1gIrdl6OLYWXD2SSjnkf6hIDBJgFXUbo20fVea/53EwmO2w==" saltValue="n+HFxG3F0dHGf2v7YsQWrw==" spinCount="100000" sheet="1" objects="1" scenarios="1" sort="0" autoFilter="0"/>
  <mergeCells count="14">
    <mergeCell ref="B12:B17"/>
    <mergeCell ref="C12:F12"/>
    <mergeCell ref="C13:F13"/>
    <mergeCell ref="C15:F15"/>
    <mergeCell ref="C3:D3"/>
    <mergeCell ref="C5:E5"/>
    <mergeCell ref="B7:G7"/>
    <mergeCell ref="C9:F9"/>
    <mergeCell ref="C11:G11"/>
    <mergeCell ref="C19:G19"/>
    <mergeCell ref="B20:B25"/>
    <mergeCell ref="C20:F20"/>
    <mergeCell ref="C21:F21"/>
    <mergeCell ref="C23:F23"/>
  </mergeCells>
  <hyperlinks>
    <hyperlink ref="B1" location="ÍNDICE!A1" display="BACK TO INDEX" xr:uid="{00000000-0004-0000-1600-000000000000}"/>
  </hyperlinks>
  <pageMargins left="0.70866141732283472" right="0.70866141732283472" top="0.74803149606299213" bottom="0.74803149606299213" header="0.31496062992125984" footer="0.31496062992125984"/>
  <pageSetup scale="57" orientation="portrait"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XFC42"/>
  <sheetViews>
    <sheetView showGridLines="0" zoomScale="85" zoomScaleNormal="85" workbookViewId="0">
      <pane ySplit="1" topLeftCell="A28" activePane="bottomLeft" state="frozen"/>
      <selection pane="bottomLeft" activeCell="J41" sqref="J41"/>
    </sheetView>
  </sheetViews>
  <sheetFormatPr defaultColWidth="0" defaultRowHeight="15" customHeight="1" zeroHeight="1" x14ac:dyDescent="0.25"/>
  <cols>
    <col min="1" max="1" width="1.140625" style="3" customWidth="1"/>
    <col min="2" max="2" width="11.42578125" style="4" customWidth="1"/>
    <col min="3" max="3" width="11.140625" style="3" customWidth="1"/>
    <col min="4" max="4" width="13.28515625" style="3" customWidth="1"/>
    <col min="5" max="5" width="19.28515625" style="3" customWidth="1"/>
    <col min="6" max="6" width="22.42578125" style="3" customWidth="1"/>
    <col min="7" max="7" width="18.42578125" style="3" customWidth="1"/>
    <col min="8" max="8" width="4.140625" style="3" customWidth="1"/>
    <col min="9" max="9" width="18.42578125" style="3" customWidth="1"/>
    <col min="10" max="10" width="26.42578125" style="3" customWidth="1"/>
    <col min="11" max="11" width="1.140625" style="3" customWidth="1"/>
    <col min="12" max="16383" width="9.140625" style="3" hidden="1"/>
    <col min="16384" max="16384" width="10.42578125" style="3" hidden="1"/>
  </cols>
  <sheetData>
    <row r="1" spans="1:13" ht="21" customHeight="1" x14ac:dyDescent="0.2">
      <c r="A1" s="2"/>
      <c r="B1" s="445" t="s">
        <v>29</v>
      </c>
      <c r="C1" s="446"/>
      <c r="D1" s="2"/>
      <c r="E1" s="2"/>
      <c r="F1" s="2"/>
      <c r="G1" s="2"/>
      <c r="H1" s="2"/>
      <c r="I1" s="2"/>
      <c r="J1" s="2"/>
      <c r="K1" s="2"/>
    </row>
    <row r="2" spans="1:13" ht="15" customHeight="1" x14ac:dyDescent="0.2"/>
    <row r="3" spans="1:13" ht="32.25" customHeight="1" x14ac:dyDescent="0.2">
      <c r="B3" s="422" t="s">
        <v>4</v>
      </c>
      <c r="C3" s="377"/>
      <c r="D3" s="416" t="str">
        <f>IF(COVER!E8&lt;&gt;"",COVER!E8,"")</f>
        <v>POWER BLOX AFRICA, S.A.</v>
      </c>
      <c r="E3" s="430"/>
      <c r="F3" s="461"/>
    </row>
    <row r="4" spans="1:13" ht="15" customHeight="1" x14ac:dyDescent="0.2"/>
    <row r="5" spans="1:13" ht="19.5" customHeight="1" x14ac:dyDescent="0.25">
      <c r="B5" s="4" t="s">
        <v>519</v>
      </c>
      <c r="F5" s="12" t="s">
        <v>522</v>
      </c>
      <c r="G5" s="20"/>
      <c r="H5" s="38" t="s">
        <v>523</v>
      </c>
      <c r="I5" s="20"/>
      <c r="M5" s="280">
        <v>1</v>
      </c>
    </row>
    <row r="6" spans="1:13" ht="19.5" customHeight="1" x14ac:dyDescent="0.2"/>
    <row r="7" spans="1:13" s="6" customFormat="1" ht="30.75" customHeight="1" x14ac:dyDescent="0.25">
      <c r="B7" s="376" t="s">
        <v>518</v>
      </c>
      <c r="C7" s="404"/>
      <c r="D7" s="404"/>
      <c r="E7" s="404"/>
      <c r="F7" s="404"/>
      <c r="G7" s="404"/>
      <c r="H7" s="404"/>
      <c r="I7" s="404"/>
      <c r="J7" s="377"/>
    </row>
    <row r="8" spans="1:13" ht="15" customHeight="1" x14ac:dyDescent="0.2"/>
    <row r="9" spans="1:13" ht="30" customHeight="1" x14ac:dyDescent="0.25">
      <c r="B9" s="300" t="s">
        <v>520</v>
      </c>
      <c r="C9" s="496" t="s">
        <v>521</v>
      </c>
      <c r="D9" s="497"/>
      <c r="E9" s="497"/>
      <c r="F9" s="497"/>
      <c r="G9" s="497"/>
      <c r="H9" s="497"/>
      <c r="I9" s="497"/>
      <c r="J9" s="498"/>
      <c r="M9" s="11"/>
    </row>
    <row r="10" spans="1:13" ht="4.5" customHeight="1" x14ac:dyDescent="0.2"/>
    <row r="11" spans="1:13" ht="29.25" customHeight="1" x14ac:dyDescent="0.2">
      <c r="B11" s="131"/>
      <c r="C11" s="454"/>
      <c r="D11" s="488"/>
      <c r="E11" s="488"/>
      <c r="F11" s="488"/>
      <c r="G11" s="488"/>
      <c r="H11" s="488"/>
      <c r="I11" s="488"/>
      <c r="J11" s="453"/>
      <c r="M11" s="11"/>
    </row>
    <row r="12" spans="1:13" ht="29.25" customHeight="1" x14ac:dyDescent="0.2">
      <c r="B12" s="306"/>
      <c r="C12" s="454"/>
      <c r="D12" s="488"/>
      <c r="E12" s="488"/>
      <c r="F12" s="488"/>
      <c r="G12" s="488"/>
      <c r="H12" s="488"/>
      <c r="I12" s="488"/>
      <c r="J12" s="453"/>
      <c r="M12" s="11"/>
    </row>
    <row r="13" spans="1:13" ht="29.25" customHeight="1" x14ac:dyDescent="0.2">
      <c r="B13" s="306"/>
      <c r="C13" s="454"/>
      <c r="D13" s="488"/>
      <c r="E13" s="488"/>
      <c r="F13" s="488"/>
      <c r="G13" s="488"/>
      <c r="H13" s="488"/>
      <c r="I13" s="488"/>
      <c r="J13" s="453"/>
      <c r="M13" s="11"/>
    </row>
    <row r="14" spans="1:13" ht="29.25" customHeight="1" x14ac:dyDescent="0.2">
      <c r="B14" s="306"/>
      <c r="C14" s="454"/>
      <c r="D14" s="488"/>
      <c r="E14" s="488"/>
      <c r="F14" s="488"/>
      <c r="G14" s="488"/>
      <c r="H14" s="488"/>
      <c r="I14" s="488"/>
      <c r="J14" s="453"/>
      <c r="M14" s="11"/>
    </row>
    <row r="15" spans="1:13" ht="29.25" customHeight="1" x14ac:dyDescent="0.2">
      <c r="B15" s="306"/>
      <c r="C15" s="454"/>
      <c r="D15" s="488"/>
      <c r="E15" s="488"/>
      <c r="F15" s="488"/>
      <c r="G15" s="488"/>
      <c r="H15" s="488"/>
      <c r="I15" s="488"/>
      <c r="J15" s="453"/>
      <c r="M15" s="11"/>
    </row>
    <row r="16" spans="1:13" ht="28.5" customHeight="1" x14ac:dyDescent="0.2">
      <c r="B16" s="306"/>
      <c r="C16" s="454"/>
      <c r="D16" s="488"/>
      <c r="E16" s="488"/>
      <c r="F16" s="488"/>
      <c r="G16" s="488"/>
      <c r="H16" s="488"/>
      <c r="I16" s="488"/>
      <c r="J16" s="453"/>
      <c r="M16" s="11"/>
    </row>
    <row r="17" spans="2:13" ht="28.5" customHeight="1" x14ac:dyDescent="0.2">
      <c r="B17" s="306"/>
      <c r="C17" s="454"/>
      <c r="D17" s="488"/>
      <c r="E17" s="488"/>
      <c r="F17" s="488"/>
      <c r="G17" s="488"/>
      <c r="H17" s="488"/>
      <c r="I17" s="488"/>
      <c r="J17" s="453"/>
      <c r="M17" s="11"/>
    </row>
    <row r="18" spans="2:13" ht="29.25" customHeight="1" x14ac:dyDescent="0.2">
      <c r="B18" s="306"/>
      <c r="C18" s="454"/>
      <c r="D18" s="488"/>
      <c r="E18" s="488"/>
      <c r="F18" s="488"/>
      <c r="G18" s="488"/>
      <c r="H18" s="488"/>
      <c r="I18" s="488"/>
      <c r="J18" s="453"/>
      <c r="M18" s="11"/>
    </row>
    <row r="19" spans="2:13" ht="28.5" customHeight="1" x14ac:dyDescent="0.2">
      <c r="B19" s="306"/>
      <c r="C19" s="454"/>
      <c r="D19" s="488"/>
      <c r="E19" s="488"/>
      <c r="F19" s="488"/>
      <c r="G19" s="488"/>
      <c r="H19" s="488"/>
      <c r="I19" s="488"/>
      <c r="J19" s="453"/>
      <c r="M19" s="11"/>
    </row>
    <row r="20" spans="2:13" ht="28.5" customHeight="1" x14ac:dyDescent="0.2">
      <c r="B20" s="306"/>
      <c r="C20" s="454"/>
      <c r="D20" s="488"/>
      <c r="E20" s="488"/>
      <c r="F20" s="488"/>
      <c r="G20" s="488"/>
      <c r="H20" s="488"/>
      <c r="I20" s="488"/>
      <c r="J20" s="453"/>
      <c r="M20" s="11"/>
    </row>
    <row r="21" spans="2:13" ht="29.25" customHeight="1" x14ac:dyDescent="0.2">
      <c r="B21" s="131"/>
      <c r="C21" s="454"/>
      <c r="D21" s="488"/>
      <c r="E21" s="488"/>
      <c r="F21" s="488"/>
      <c r="G21" s="488"/>
      <c r="H21" s="488"/>
      <c r="I21" s="488"/>
      <c r="J21" s="453"/>
      <c r="M21" s="11"/>
    </row>
    <row r="22" spans="2:13" ht="29.25" customHeight="1" x14ac:dyDescent="0.2">
      <c r="B22" s="306"/>
      <c r="C22" s="454"/>
      <c r="D22" s="488"/>
      <c r="E22" s="488"/>
      <c r="F22" s="488"/>
      <c r="G22" s="488"/>
      <c r="H22" s="488"/>
      <c r="I22" s="488"/>
      <c r="J22" s="453"/>
      <c r="M22" s="11"/>
    </row>
    <row r="23" spans="2:13" ht="29.25" customHeight="1" x14ac:dyDescent="0.2">
      <c r="B23" s="306"/>
      <c r="C23" s="454"/>
      <c r="D23" s="488"/>
      <c r="E23" s="488"/>
      <c r="F23" s="488"/>
      <c r="G23" s="488"/>
      <c r="H23" s="488"/>
      <c r="I23" s="488"/>
      <c r="J23" s="453"/>
      <c r="M23" s="11"/>
    </row>
    <row r="24" spans="2:13" ht="29.25" customHeight="1" x14ac:dyDescent="0.2">
      <c r="B24" s="306"/>
      <c r="C24" s="454"/>
      <c r="D24" s="488"/>
      <c r="E24" s="488"/>
      <c r="F24" s="488"/>
      <c r="G24" s="488"/>
      <c r="H24" s="488"/>
      <c r="I24" s="488"/>
      <c r="J24" s="453"/>
      <c r="M24" s="11"/>
    </row>
    <row r="25" spans="2:13" ht="29.25" customHeight="1" x14ac:dyDescent="0.2">
      <c r="B25" s="306"/>
      <c r="C25" s="454"/>
      <c r="D25" s="488"/>
      <c r="E25" s="488"/>
      <c r="F25" s="488"/>
      <c r="G25" s="488"/>
      <c r="H25" s="488"/>
      <c r="I25" s="488"/>
      <c r="J25" s="453"/>
      <c r="M25" s="11"/>
    </row>
    <row r="26" spans="2:13" ht="28.5" customHeight="1" x14ac:dyDescent="0.2">
      <c r="B26" s="306"/>
      <c r="C26" s="454"/>
      <c r="D26" s="488"/>
      <c r="E26" s="488"/>
      <c r="F26" s="488"/>
      <c r="G26" s="488"/>
      <c r="H26" s="488"/>
      <c r="I26" s="488"/>
      <c r="J26" s="453"/>
      <c r="M26" s="11"/>
    </row>
    <row r="27" spans="2:13" ht="28.5" customHeight="1" x14ac:dyDescent="0.2">
      <c r="B27" s="306"/>
      <c r="C27" s="454"/>
      <c r="D27" s="488"/>
      <c r="E27" s="488"/>
      <c r="F27" s="488"/>
      <c r="G27" s="488"/>
      <c r="H27" s="488"/>
      <c r="I27" s="488"/>
      <c r="J27" s="453"/>
      <c r="M27" s="11"/>
    </row>
    <row r="28" spans="2:13" ht="29.25" customHeight="1" x14ac:dyDescent="0.2">
      <c r="B28" s="306"/>
      <c r="C28" s="454"/>
      <c r="D28" s="488"/>
      <c r="E28" s="488"/>
      <c r="F28" s="488"/>
      <c r="G28" s="488"/>
      <c r="H28" s="488"/>
      <c r="I28" s="488"/>
      <c r="J28" s="453"/>
      <c r="M28" s="11"/>
    </row>
    <row r="29" spans="2:13" ht="28.5" customHeight="1" x14ac:dyDescent="0.2">
      <c r="B29" s="306"/>
      <c r="C29" s="454"/>
      <c r="D29" s="488"/>
      <c r="E29" s="488"/>
      <c r="F29" s="488"/>
      <c r="G29" s="488"/>
      <c r="H29" s="488"/>
      <c r="I29" s="488"/>
      <c r="J29" s="453"/>
      <c r="M29" s="11"/>
    </row>
    <row r="30" spans="2:13" ht="28.5" customHeight="1" x14ac:dyDescent="0.2">
      <c r="B30" s="306"/>
      <c r="C30" s="454"/>
      <c r="D30" s="488"/>
      <c r="E30" s="488"/>
      <c r="F30" s="488"/>
      <c r="G30" s="488"/>
      <c r="H30" s="488"/>
      <c r="I30" s="488"/>
      <c r="J30" s="453"/>
      <c r="M30" s="11"/>
    </row>
    <row r="31" spans="2:13" ht="29.25" customHeight="1" x14ac:dyDescent="0.2">
      <c r="B31" s="131"/>
      <c r="C31" s="454"/>
      <c r="D31" s="488"/>
      <c r="E31" s="488"/>
      <c r="F31" s="488"/>
      <c r="G31" s="488"/>
      <c r="H31" s="488"/>
      <c r="I31" s="488"/>
      <c r="J31" s="453"/>
      <c r="M31" s="11"/>
    </row>
    <row r="32" spans="2:13" ht="29.25" customHeight="1" x14ac:dyDescent="0.2">
      <c r="B32" s="306"/>
      <c r="C32" s="454"/>
      <c r="D32" s="488"/>
      <c r="E32" s="488"/>
      <c r="F32" s="488"/>
      <c r="G32" s="488"/>
      <c r="H32" s="488"/>
      <c r="I32" s="488"/>
      <c r="J32" s="453"/>
      <c r="M32" s="11"/>
    </row>
    <row r="33" spans="2:13" ht="29.25" customHeight="1" x14ac:dyDescent="0.25">
      <c r="B33" s="306"/>
      <c r="C33" s="454"/>
      <c r="D33" s="488"/>
      <c r="E33" s="488"/>
      <c r="F33" s="488"/>
      <c r="G33" s="488"/>
      <c r="H33" s="488"/>
      <c r="I33" s="488"/>
      <c r="J33" s="453"/>
      <c r="M33" s="11"/>
    </row>
    <row r="34" spans="2:13" ht="29.25" customHeight="1" x14ac:dyDescent="0.25">
      <c r="B34" s="306"/>
      <c r="C34" s="454"/>
      <c r="D34" s="488"/>
      <c r="E34" s="488"/>
      <c r="F34" s="488"/>
      <c r="G34" s="488"/>
      <c r="H34" s="488"/>
      <c r="I34" s="488"/>
      <c r="J34" s="453"/>
      <c r="M34" s="11"/>
    </row>
    <row r="35" spans="2:13" ht="29.25" customHeight="1" x14ac:dyDescent="0.25">
      <c r="B35" s="306"/>
      <c r="C35" s="454"/>
      <c r="D35" s="488"/>
      <c r="E35" s="488"/>
      <c r="F35" s="488"/>
      <c r="G35" s="488"/>
      <c r="H35" s="488"/>
      <c r="I35" s="488"/>
      <c r="J35" s="453"/>
      <c r="M35" s="11"/>
    </row>
    <row r="36" spans="2:13" ht="28.5" customHeight="1" x14ac:dyDescent="0.25">
      <c r="B36" s="306"/>
      <c r="C36" s="454"/>
      <c r="D36" s="488"/>
      <c r="E36" s="488"/>
      <c r="F36" s="488"/>
      <c r="G36" s="488"/>
      <c r="H36" s="488"/>
      <c r="I36" s="488"/>
      <c r="J36" s="453"/>
      <c r="M36" s="11"/>
    </row>
    <row r="37" spans="2:13" ht="28.5" customHeight="1" x14ac:dyDescent="0.25">
      <c r="B37" s="306"/>
      <c r="C37" s="454"/>
      <c r="D37" s="488"/>
      <c r="E37" s="488"/>
      <c r="F37" s="488"/>
      <c r="G37" s="488"/>
      <c r="H37" s="488"/>
      <c r="I37" s="488"/>
      <c r="J37" s="453"/>
      <c r="M37" s="11"/>
    </row>
    <row r="38" spans="2:13" ht="29.25" customHeight="1" x14ac:dyDescent="0.25">
      <c r="B38" s="306"/>
      <c r="C38" s="454"/>
      <c r="D38" s="488"/>
      <c r="E38" s="488"/>
      <c r="F38" s="488"/>
      <c r="G38" s="488"/>
      <c r="H38" s="488"/>
      <c r="I38" s="488"/>
      <c r="J38" s="453"/>
      <c r="M38" s="11"/>
    </row>
    <row r="39" spans="2:13" ht="28.5" customHeight="1" x14ac:dyDescent="0.25">
      <c r="B39" s="306"/>
      <c r="C39" s="454"/>
      <c r="D39" s="488"/>
      <c r="E39" s="488"/>
      <c r="F39" s="488"/>
      <c r="G39" s="488"/>
      <c r="H39" s="488"/>
      <c r="I39" s="488"/>
      <c r="J39" s="453"/>
      <c r="M39" s="11"/>
    </row>
    <row r="40" spans="2:13" ht="28.5" customHeight="1" x14ac:dyDescent="0.25">
      <c r="B40" s="306"/>
      <c r="C40" s="454"/>
      <c r="D40" s="488"/>
      <c r="E40" s="488"/>
      <c r="F40" s="488"/>
      <c r="G40" s="488"/>
      <c r="H40" s="488"/>
      <c r="I40" s="488"/>
      <c r="J40" s="453"/>
      <c r="M40" s="11"/>
    </row>
    <row r="41" spans="2:13" ht="28.5" customHeight="1" x14ac:dyDescent="0.25"/>
    <row r="42" spans="2:13" ht="16.5" customHeight="1" x14ac:dyDescent="0.25"/>
  </sheetData>
  <sheetProtection algorithmName="SHA-512" hashValue="69tzJTpMrMpCTbqaFtetYZ4doaRW5b0O1+/SIHDjOdMGexH/DTPABqFIoGAPz+PdQRyos15xVqDhbEblDB/WwQ==" saltValue="FIUszSltGRY4h3kWy2ilsQ==" spinCount="100000" sheet="1" objects="1" scenarios="1" sort="0" autoFilter="0"/>
  <mergeCells count="35">
    <mergeCell ref="C18:J18"/>
    <mergeCell ref="C19:J19"/>
    <mergeCell ref="C20:J20"/>
    <mergeCell ref="C21:J21"/>
    <mergeCell ref="C26:J26"/>
    <mergeCell ref="C22:J22"/>
    <mergeCell ref="C23:J23"/>
    <mergeCell ref="C24:J24"/>
    <mergeCell ref="C25:J25"/>
    <mergeCell ref="B1:C1"/>
    <mergeCell ref="C11:J11"/>
    <mergeCell ref="C14:J14"/>
    <mergeCell ref="C16:J16"/>
    <mergeCell ref="C17:J17"/>
    <mergeCell ref="C12:J12"/>
    <mergeCell ref="C13:J13"/>
    <mergeCell ref="C15:J15"/>
    <mergeCell ref="D3:F3"/>
    <mergeCell ref="B3:C3"/>
    <mergeCell ref="C9:J9"/>
    <mergeCell ref="B7:J7"/>
    <mergeCell ref="C38:J38"/>
    <mergeCell ref="C39:J39"/>
    <mergeCell ref="C40:J40"/>
    <mergeCell ref="C27:J27"/>
    <mergeCell ref="C28:J28"/>
    <mergeCell ref="C29:J29"/>
    <mergeCell ref="C36:J36"/>
    <mergeCell ref="C37:J37"/>
    <mergeCell ref="C32:J32"/>
    <mergeCell ref="C33:J33"/>
    <mergeCell ref="C34:J34"/>
    <mergeCell ref="C35:J35"/>
    <mergeCell ref="C31:J31"/>
    <mergeCell ref="C30:J30"/>
  </mergeCells>
  <conditionalFormatting sqref="G5">
    <cfRule type="expression" dxfId="16" priority="2">
      <formula>$M$5=2</formula>
    </cfRule>
  </conditionalFormatting>
  <conditionalFormatting sqref="I5">
    <cfRule type="expression" dxfId="15" priority="1">
      <formula>$M$5=2</formula>
    </cfRule>
  </conditionalFormatting>
  <hyperlinks>
    <hyperlink ref="B1" location="COVER!A1" display="BACK TO INDEX" xr:uid="{00000000-0004-0000-1700-000000000000}"/>
    <hyperlink ref="B1:C1" location="ÍNDICE!A1" display="BACK TO INDEX" xr:uid="{00000000-0004-0000-1700-000001000000}"/>
  </hyperlinks>
  <pageMargins left="0.70866141732283472" right="0.70866141732283472" top="0.74803149606299213" bottom="0.74803149606299213" header="0.31496062992125984" footer="0.31496062992125984"/>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Option Button 2">
              <controlPr defaultSize="0" autoFill="0" autoLine="0" autoPict="0">
                <anchor moveWithCells="1">
                  <from>
                    <xdr:col>3</xdr:col>
                    <xdr:colOff>866775</xdr:colOff>
                    <xdr:row>4</xdr:row>
                    <xdr:rowOff>28575</xdr:rowOff>
                  </from>
                  <to>
                    <xdr:col>4</xdr:col>
                    <xdr:colOff>581025</xdr:colOff>
                    <xdr:row>5</xdr:row>
                    <xdr:rowOff>0</xdr:rowOff>
                  </to>
                </anchor>
              </controlPr>
            </control>
          </mc:Choice>
        </mc:AlternateContent>
        <mc:AlternateContent xmlns:mc="http://schemas.openxmlformats.org/markup-compatibility/2006">
          <mc:Choice Requires="x14">
            <control shapeId="22531" r:id="rId5" name="Option Button 3">
              <controlPr defaultSize="0" autoFill="0" autoLine="0" autoPict="0">
                <anchor moveWithCells="1">
                  <from>
                    <xdr:col>4</xdr:col>
                    <xdr:colOff>600075</xdr:colOff>
                    <xdr:row>4</xdr:row>
                    <xdr:rowOff>28575</xdr:rowOff>
                  </from>
                  <to>
                    <xdr:col>4</xdr:col>
                    <xdr:colOff>1209675</xdr:colOff>
                    <xdr:row>5</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9" tint="-0.499984740745262"/>
  </sheetPr>
  <dimension ref="A1:Z224"/>
  <sheetViews>
    <sheetView showGridLines="0" zoomScaleNormal="100" workbookViewId="0">
      <pane ySplit="1" topLeftCell="A161" activePane="bottomLeft" state="frozen"/>
      <selection activeCell="B1" sqref="B1:C1"/>
      <selection pane="bottomLeft" activeCell="D45" sqref="D45"/>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7" width="18.85546875" style="3" customWidth="1"/>
    <col min="8" max="8" width="12.140625" style="57" customWidth="1"/>
    <col min="9" max="9" width="0.85546875" style="3" customWidth="1"/>
    <col min="10" max="10" width="12" style="144" hidden="1" customWidth="1"/>
    <col min="11" max="11" width="17" style="3" hidden="1" customWidth="1"/>
    <col min="12" max="26" width="0" style="3" hidden="1" customWidth="1"/>
    <col min="27" max="16384" width="17" style="3" hidden="1"/>
  </cols>
  <sheetData>
    <row r="1" spans="1:26" ht="21" customHeight="1" x14ac:dyDescent="0.2">
      <c r="A1" s="2"/>
      <c r="B1" s="445" t="s">
        <v>29</v>
      </c>
      <c r="C1" s="446"/>
      <c r="D1" s="2"/>
      <c r="E1" s="2"/>
      <c r="F1" s="2"/>
      <c r="G1" s="2"/>
      <c r="H1" s="56"/>
      <c r="I1" s="56"/>
      <c r="J1" s="143"/>
    </row>
    <row r="2" spans="1:26" ht="15" customHeight="1" x14ac:dyDescent="0.2"/>
    <row r="3" spans="1:26" ht="15" customHeight="1" x14ac:dyDescent="0.25">
      <c r="F3" s="169" t="s">
        <v>525</v>
      </c>
      <c r="G3" s="186">
        <f>IF(COVER!E6&lt;&gt;"",COVER!E6+1,"")</f>
        <v>2022</v>
      </c>
    </row>
    <row r="4" spans="1:26" ht="15" customHeight="1" x14ac:dyDescent="0.2"/>
    <row r="5" spans="1:26" ht="20.25" customHeight="1" x14ac:dyDescent="0.2">
      <c r="B5" s="447" t="s">
        <v>4</v>
      </c>
      <c r="C5" s="508"/>
      <c r="D5" s="509" t="str">
        <f>IF(COVER!E8&lt;&gt;"",COVER!E8,"")</f>
        <v>POWER BLOX AFRICA, S.A.</v>
      </c>
      <c r="E5" s="510"/>
      <c r="F5" s="511"/>
    </row>
    <row r="6" spans="1:26" ht="15" customHeight="1" x14ac:dyDescent="0.2"/>
    <row r="7" spans="1:26" ht="15" customHeight="1" x14ac:dyDescent="0.2"/>
    <row r="8" spans="1:26" s="6" customFormat="1" ht="30.75" customHeight="1" x14ac:dyDescent="0.25">
      <c r="B8" s="376" t="s">
        <v>526</v>
      </c>
      <c r="C8" s="376"/>
      <c r="D8" s="377"/>
      <c r="E8" s="377"/>
      <c r="F8" s="377"/>
      <c r="G8" s="377"/>
      <c r="H8" s="377"/>
      <c r="J8" s="145"/>
    </row>
    <row r="9" spans="1:26" ht="15" customHeight="1" x14ac:dyDescent="0.2">
      <c r="G9" s="122" t="s">
        <v>432</v>
      </c>
      <c r="H9" s="121" t="str">
        <f>IF(COVER!$K$6&lt;&gt;"",CONCATENATE("milhares ",COVER!$K$6),"")</f>
        <v>milhares MZN</v>
      </c>
    </row>
    <row r="10" spans="1:26" s="31" customFormat="1" ht="31.5" customHeight="1" x14ac:dyDescent="0.25">
      <c r="B10" s="67"/>
      <c r="C10" s="102"/>
      <c r="D10" s="134">
        <f>IF(E10&lt;&gt;"",E10-1,"")</f>
        <v>2019</v>
      </c>
      <c r="E10" s="134">
        <f>IF(F10&lt;&gt;"",F10-1,"")</f>
        <v>2020</v>
      </c>
      <c r="F10" s="134">
        <f>IF(G10&lt;&gt;"",G10-1,"")</f>
        <v>2021</v>
      </c>
      <c r="G10" s="135">
        <f>$G$3</f>
        <v>2022</v>
      </c>
      <c r="H10" s="512" t="str">
        <f>IF(AND(F10&lt;&gt;"",G10&lt;&gt;""),CONCATENATE("Variação % (",G10,"/",F10,")"),"")</f>
        <v>Variação % (2022/2021)</v>
      </c>
      <c r="J10" s="146"/>
    </row>
    <row r="11" spans="1:26" s="31" customFormat="1" ht="16.5" customHeight="1" x14ac:dyDescent="0.25">
      <c r="B11" s="123"/>
      <c r="C11" s="32"/>
      <c r="D11" s="132" t="s">
        <v>527</v>
      </c>
      <c r="E11" s="132" t="s">
        <v>527</v>
      </c>
      <c r="F11" s="132" t="s">
        <v>527</v>
      </c>
      <c r="G11" s="133" t="s">
        <v>528</v>
      </c>
      <c r="H11" s="513"/>
      <c r="J11" s="146"/>
    </row>
    <row r="12" spans="1:26" ht="15" customHeight="1" x14ac:dyDescent="0.2">
      <c r="B12" s="71"/>
    </row>
    <row r="13" spans="1:26" ht="21" customHeight="1" x14ac:dyDescent="0.2">
      <c r="B13" s="370" t="s">
        <v>422</v>
      </c>
      <c r="C13" s="370"/>
      <c r="D13" s="371"/>
      <c r="E13" s="371"/>
      <c r="F13" s="371"/>
      <c r="G13" s="371"/>
      <c r="H13" s="372"/>
    </row>
    <row r="14" spans="1:26" ht="15" customHeight="1" x14ac:dyDescent="0.2">
      <c r="B14" s="72"/>
      <c r="C14" s="51"/>
      <c r="D14" s="91"/>
      <c r="E14" s="91"/>
      <c r="F14" s="91"/>
      <c r="G14" s="180"/>
      <c r="H14" s="62"/>
    </row>
    <row r="15" spans="1:26" ht="15" customHeight="1" x14ac:dyDescent="0.2">
      <c r="B15" s="73" t="str">
        <f>IF('DETALHE GANHOS E GASTOS'!B14&lt;&gt;"",'DETALHE GANHOS E GASTOS'!B14,"")</f>
        <v>6.1</v>
      </c>
      <c r="C15" s="53" t="str">
        <f>IF('DETALHE GANHOS E GASTOS'!C14&lt;&gt;"",'DETALHE GANHOS E GASTOS'!C14,"")</f>
        <v>CUSTOS DOS INVENTÁRIOS</v>
      </c>
      <c r="D15" s="211">
        <f>SUM(D16:D18)</f>
        <v>0</v>
      </c>
      <c r="E15" s="211">
        <f>SUM(E16:E18)</f>
        <v>0</v>
      </c>
      <c r="F15" s="211">
        <f>SUM(F16:F18)</f>
        <v>0</v>
      </c>
      <c r="G15" s="309">
        <f>SUM(G16:G18)</f>
        <v>0</v>
      </c>
      <c r="H15" s="212" t="str">
        <f>IFERROR(IF(AND(F15&lt;0,G15&lt;=0),-(G15-F15)/F15,IF(AND(F15&lt;0,G15&gt;0),-(G15-F15)/F15,(G15-F15)/F15)),"")</f>
        <v/>
      </c>
    </row>
    <row r="16" spans="1:26" ht="15" customHeight="1" x14ac:dyDescent="0.2">
      <c r="B16" s="74" t="str">
        <f>IF('DETALHE GANHOS E GASTOS'!B15&lt;&gt;"",'DETALHE GANHOS E GASTOS'!B15,"")</f>
        <v>6.1.1</v>
      </c>
      <c r="C16" s="52" t="str">
        <f>IF('DETALHE GANHOS E GASTOS'!C15&lt;&gt;"",'DETALHE GANHOS E GASTOS'!C15,"")</f>
        <v>Custo dos inventários vendidos ou consumidos</v>
      </c>
      <c r="D16" s="96">
        <f>IFERROR(INDEX('DETALHE GANHOS E GASTOS'!$C$14:$H$123,MATCH($C16,'DETALHE GANHOS E GASTOS'!$C$14:$C$123,0),4),"")</f>
        <v>0</v>
      </c>
      <c r="E16" s="96">
        <f>IFERROR(INDEX('DETALHE GANHOS E GASTOS'!$C$14:$H$123,MATCH($C16,'DETALHE GANHOS E GASTOS'!$C$14:$C$123,0),5),"")</f>
        <v>0</v>
      </c>
      <c r="F16" s="96">
        <f>IFERROR(INDEX('DETALHE GANHOS E GASTOS'!$C$14:$H$123,MATCH($C16,'DETALHE GANHOS E GASTOS'!$C$14:$C$123,0),6),"")</f>
        <v>0</v>
      </c>
      <c r="G16" s="307"/>
      <c r="H16" s="114" t="str">
        <f t="shared" ref="H16:H76" si="0">IFERROR(IF(AND(F16&lt;0,G16&lt;=0),-(G16-F16)/F16,IF(AND(F16&lt;0,G16&gt;0),-(G16-F16)/F16,(G16-F16)/F16)),"")</f>
        <v/>
      </c>
      <c r="J16" s="144" t="str">
        <f t="shared" ref="J16:J18" si="1">IF(G16="","",IFERROR(ABS(H16),""))</f>
        <v/>
      </c>
      <c r="K16" s="3" t="str">
        <f>IF($J16=MAX(J$16:J$18,J$20:J$30,J$32:J$67,J$69:J$75,J$77:J$82,J$84:J$94,J$96:J$101,J$103:J$113,J$115:J$124),"max1",$J16)</f>
        <v/>
      </c>
      <c r="L16" s="3" t="str">
        <f>IF($K16=MAX(K$16:K$18,K$20:K$30,K$32:K$67,K$69:K$75,K$77:K$82,K$84:K$94,K$96:K$101,K$103:K$113,K$115:K$124),"max2",$K16)</f>
        <v/>
      </c>
      <c r="M16" s="3" t="str">
        <f>IF($L16=MAX(L$16:L$18,L$20:L$30,L$32:L$67,L$69:L$75,L$77:L$82,L$84:L$94,L$96:L$101,L$103:L$113,L$115:L$124),"max3",$L16)</f>
        <v/>
      </c>
      <c r="N16" s="3" t="str">
        <f>IF($M16=MAX(M$16:M$18,M$20:M$30,M$32:M$67,M$69:M$75,M$77:M$82,M$84:M$94,M$96:M$101,M$103:M$113,M$115:M$124),"max4",$M16)</f>
        <v/>
      </c>
      <c r="O16" s="3" t="str">
        <f>IF($N16=MAX(N$16:N$18,N$20:N$30,N$32:N$67,N$69:N$75,N$77:N$82,N$84:N$94,N$96:N$101,N$103:N$113,N$115:N$124),"max5",$N16)</f>
        <v/>
      </c>
      <c r="P16" s="3" t="str">
        <f>IF($O16=MAX(O$16:O$18,O$20:O$30,O$32:O$67,O$69:O$75,O$77:O$82,O$84:O$94,O$96:O$101,O$103:O$113,O$115:O$124),"max6",$O16)</f>
        <v/>
      </c>
      <c r="Q16" s="3" t="str">
        <f>IF($P16=MAX(P$16:P$18,P$20:P$30,P$32:P$67,P$69:P$75,P$77:P$82,P$84:P$94,P$96:P$101,P$103:P$113,P$115:P$124),"max7",$P16)</f>
        <v/>
      </c>
      <c r="R16" s="3" t="str">
        <f>IF($Q16=MAX(Q$16:Q$18,Q$20:Q$30,Q$32:Q$67,Q$69:Q$75,Q$77:Q$82,Q$84:Q$94,Q$96:Q$101,Q$103:Q$113,Q$115:Q$124),"max8",$Q16)</f>
        <v/>
      </c>
      <c r="S16" s="3" t="str">
        <f>IF($R16=MAX(R$16:R$18,R$20:R$30,R$32:R$67,R$69:R$75,R$77:R$82,R$84:R$94,R$96:R$101,R$103:R$113,R$115:R$124),"max9",$R16)</f>
        <v/>
      </c>
      <c r="T16" s="3" t="str">
        <f>IF($S16=MAX(S$16:S$18,S$20:S$30,S$32:S$67,S$69:S$75,S$77:S$82,S$84:S$94,S$96:S$101,S$103:S$113,S$115:S$124),"max10",$S16)</f>
        <v/>
      </c>
      <c r="U16" s="3" t="str">
        <f>IF($T16=MAX(T$16:T$18,T$20:T$30,T$32:T$67,T$69:T$75,T$77:T$82,T$84:T$94,T$96:T$101,T$103:T$113,T$115:T$124),"max11",$T16)</f>
        <v/>
      </c>
      <c r="V16" s="3" t="str">
        <f>IF($U16=MAX(U$16:U$18,U$20:U$30,U$32:U$67,U$69:U$75,U$77:U$82,U$84:U$94,U$96:U$101,U$103:U$113,U$115:U$124),"max12",$U16)</f>
        <v/>
      </c>
      <c r="W16" s="3" t="str">
        <f>IF($V16=MAX(V$16:V$18,V$20:V$30,V$32:V$67,V$69:V$75,V$77:V$82,V$84:V$94,V$96:V$101,V$103:V$113,V$115:V$124),"max13",$V16)</f>
        <v/>
      </c>
      <c r="X16" s="3" t="str">
        <f>IF($W16=MAX(W$16:W$18,W$20:W$30,W$32:W$67,W$69:W$75,W$77:W$82,W$84:W$94,W$96:W$101,W$103:W$113,W$115:W$124),"max14",$W16)</f>
        <v/>
      </c>
      <c r="Y16" s="3" t="str">
        <f>IF($X16=MAX(X$16:X$18,X$20:X$30,X$32:X$67,X$69:X$75,X$77:X$82,X$84:X$94,X$96:X$101,X$103:X$113,X$115:X$124),"max15",$X16)</f>
        <v/>
      </c>
      <c r="Z16" s="3" t="str">
        <f t="shared" ref="Z16" si="2">IF(LEFT(Y16,3)="max",Y16,"Outro")</f>
        <v>Outro</v>
      </c>
    </row>
    <row r="17" spans="2:26" ht="15" customHeight="1" x14ac:dyDescent="0.2">
      <c r="B17" s="77" t="str">
        <f>IF('DETALHE GANHOS E GASTOS'!B16&lt;&gt;"",'DETALHE GANHOS E GASTOS'!B16,"")</f>
        <v>6.1.2</v>
      </c>
      <c r="C17" s="48" t="str">
        <f>IF('DETALHE GANHOS E GASTOS'!C16&lt;&gt;"",'DETALHE GANHOS E GASTOS'!C16,"")</f>
        <v>Variação da produção</v>
      </c>
      <c r="D17" s="96">
        <f>IFERROR(INDEX('DETALHE GANHOS E GASTOS'!$C$14:$H$123,MATCH($C17,'DETALHE GANHOS E GASTOS'!$C$14:$C$123,0),4),"")</f>
        <v>0</v>
      </c>
      <c r="E17" s="96">
        <f>IFERROR(INDEX('DETALHE GANHOS E GASTOS'!$C$14:$H$123,MATCH($C17,'DETALHE GANHOS E GASTOS'!$C$14:$C$123,0),5),"")</f>
        <v>0</v>
      </c>
      <c r="F17" s="96">
        <f>IFERROR(INDEX('DETALHE GANHOS E GASTOS'!$C$14:$H$123,MATCH($C17,'DETALHE GANHOS E GASTOS'!$C$14:$C$123,0),6),"")</f>
        <v>0</v>
      </c>
      <c r="G17" s="308"/>
      <c r="H17" s="61" t="str">
        <f t="shared" si="0"/>
        <v/>
      </c>
      <c r="J17" s="144" t="str">
        <f t="shared" si="1"/>
        <v/>
      </c>
      <c r="K17" s="3" t="str">
        <f>IF($J17=MAX(J$16:J$18,J$20:J$30,J$32:J$67,J$69:J$75,J$77:J$82,J$84:J$94,J$96:J$101,J$103:J$113,J$115:J$124),"max1",$J17)</f>
        <v/>
      </c>
      <c r="L17" s="3" t="str">
        <f>IF($K17=MAX(K$16:K$18,K$20:K$30,K$32:K$67,K$69:K$75,K$77:K$82,K$84:K$94,K$96:K$101,K$103:K$113,K$115:K$124),"max2",$K17)</f>
        <v/>
      </c>
      <c r="M17" s="3" t="str">
        <f>IF($L17=MAX(L$16:L$18,L$20:L$30,L$32:L$67,L$69:L$75,L$77:L$82,L$84:L$94,L$96:L$101,L$103:L$113,L$115:L$124),"max3",$L17)</f>
        <v/>
      </c>
      <c r="N17" s="3" t="str">
        <f>IF($M17=MAX(M$16:M$18,M$20:M$30,M$32:M$67,M$69:M$75,M$77:M$82,M$84:M$94,M$96:M$101,M$103:M$113,M$115:M$124),"max4",$M17)</f>
        <v/>
      </c>
      <c r="O17" s="3" t="str">
        <f>IF($N17=MAX(N$16:N$18,N$20:N$30,N$32:N$67,N$69:N$75,N$77:N$82,N$84:N$94,N$96:N$101,N$103:N$113,N$115:N$124),"max5",$N17)</f>
        <v/>
      </c>
      <c r="P17" s="3" t="str">
        <f>IF($O17=MAX(O$16:O$18,O$20:O$30,O$32:O$67,O$69:O$75,O$77:O$82,O$84:O$94,O$96:O$101,O$103:O$113,O$115:O$124),"max6",$O17)</f>
        <v/>
      </c>
      <c r="Q17" s="3" t="str">
        <f>IF($P17=MAX(P$16:P$18,P$20:P$30,P$32:P$67,P$69:P$75,P$77:P$82,P$84:P$94,P$96:P$101,P$103:P$113,P$115:P$124),"max7",$P17)</f>
        <v/>
      </c>
      <c r="R17" s="3" t="str">
        <f>IF($Q17=MAX(Q$16:Q$18,Q$20:Q$30,Q$32:Q$67,Q$69:Q$75,Q$77:Q$82,Q$84:Q$94,Q$96:Q$101,Q$103:Q$113,Q$115:Q$124),"max8",$Q17)</f>
        <v/>
      </c>
      <c r="S17" s="3" t="str">
        <f>IF($R17=MAX(R$16:R$18,R$20:R$30,R$32:R$67,R$69:R$75,R$77:R$82,R$84:R$94,R$96:R$101,R$103:R$113,R$115:R$124),"max9",$R17)</f>
        <v/>
      </c>
      <c r="T17" s="3" t="str">
        <f>IF($S17=MAX(S$16:S$18,S$20:S$30,S$32:S$67,S$69:S$75,S$77:S$82,S$84:S$94,S$96:S$101,S$103:S$113,S$115:S$124),"max10",$S17)</f>
        <v/>
      </c>
      <c r="U17" s="3" t="str">
        <f>IF($T17=MAX(T$16:T$18,T$20:T$30,T$32:T$67,T$69:T$75,T$77:T$82,T$84:T$94,T$96:T$101,T$103:T$113,T$115:T$124),"max11",$T17)</f>
        <v/>
      </c>
      <c r="V17" s="3" t="str">
        <f>IF($U17=MAX(U$16:U$18,U$20:U$30,U$32:U$67,U$69:U$75,U$77:U$82,U$84:U$94,U$96:U$101,U$103:U$113,U$115:U$124),"max12",$U17)</f>
        <v/>
      </c>
      <c r="W17" s="3" t="str">
        <f>IF($V17=MAX(V$16:V$18,V$20:V$30,V$32:V$67,V$69:V$75,V$77:V$82,V$84:V$94,V$96:V$101,V$103:V$113,V$115:V$124),"max13",$V17)</f>
        <v/>
      </c>
      <c r="X17" s="3" t="str">
        <f>IF($W17=MAX(W$16:W$18,W$20:W$30,W$32:W$67,W$69:W$75,W$77:W$82,W$84:W$94,W$96:W$101,W$103:W$113,W$115:W$124),"max14",$W17)</f>
        <v/>
      </c>
      <c r="Y17" s="3" t="str">
        <f>IF($X17=MAX(X$16:X$18,X$20:X$30,X$32:X$67,X$69:X$75,X$77:X$82,X$84:X$94,X$96:X$101,X$103:X$113,X$115:X$124),"max15",$X17)</f>
        <v/>
      </c>
      <c r="Z17" s="3" t="str">
        <f t="shared" ref="Z17:Z77" si="3">IF(LEFT(Y17,3)="max",Y17,"Outro")</f>
        <v>Outro</v>
      </c>
    </row>
    <row r="18" spans="2:26" ht="15" customHeight="1" x14ac:dyDescent="0.2">
      <c r="B18" s="77" t="str">
        <f>IF('DETALHE GANHOS E GASTOS'!B17&lt;&gt;"",'DETALHE GANHOS E GASTOS'!B17,"")</f>
        <v/>
      </c>
      <c r="C18" s="48" t="str">
        <f>IF('DETALHE GANHOS E GASTOS'!C17&lt;&gt;"",'DETALHE GANHOS E GASTOS'!C17,"")</f>
        <v/>
      </c>
      <c r="D18" s="96" t="str">
        <f>IFERROR(INDEX('DETALHE GANHOS E GASTOS'!$C$14:$H$123,MATCH($C18,'DETALHE GANHOS E GASTOS'!$C$14:$C$123,0),4),"")</f>
        <v/>
      </c>
      <c r="E18" s="96" t="str">
        <f>IFERROR(INDEX('DETALHE GANHOS E GASTOS'!$C$14:$H$123,MATCH($C18,'DETALHE GANHOS E GASTOS'!$C$14:$C$123,0),5),"")</f>
        <v/>
      </c>
      <c r="F18" s="96" t="str">
        <f>IFERROR(INDEX('DETALHE GANHOS E GASTOS'!$C$14:$H$123,MATCH($C18,'DETALHE GANHOS E GASTOS'!$C$14:$C$123,0),6),"")</f>
        <v/>
      </c>
      <c r="G18" s="308"/>
      <c r="H18" s="61" t="str">
        <f t="shared" si="0"/>
        <v/>
      </c>
      <c r="J18" s="144" t="str">
        <f t="shared" si="1"/>
        <v/>
      </c>
      <c r="K18" s="3" t="str">
        <f>IF($J18=MAX(J$16:J$18,J$20:J$30,J$32:J$67,J$69:J$75,J$77:J$82,J$84:J$94,J$96:J$101,J$103:J$113,J$115:J$124),"max1",$J18)</f>
        <v/>
      </c>
      <c r="L18" s="3" t="str">
        <f>IF($K18=MAX(K$16:K$18,K$20:K$30,K$32:K$67,K$69:K$75,K$77:K$82,K$84:K$94,K$96:K$101,K$103:K$113,K$115:K$124),"max2",$K18)</f>
        <v/>
      </c>
      <c r="M18" s="3" t="str">
        <f>IF($L18=MAX(L$16:L$18,L$20:L$30,L$32:L$67,L$69:L$75,L$77:L$82,L$84:L$94,L$96:L$101,L$103:L$113,L$115:L$124),"max3",$L18)</f>
        <v/>
      </c>
      <c r="N18" s="3" t="str">
        <f>IF($M18=MAX(M$16:M$18,M$20:M$30,M$32:M$67,M$69:M$75,M$77:M$82,M$84:M$94,M$96:M$101,M$103:M$113,M$115:M$124),"max4",$M18)</f>
        <v/>
      </c>
      <c r="O18" s="3" t="str">
        <f>IF($N18=MAX(N$16:N$18,N$20:N$30,N$32:N$67,N$69:N$75,N$77:N$82,N$84:N$94,N$96:N$101,N$103:N$113,N$115:N$124),"max5",$N18)</f>
        <v/>
      </c>
      <c r="P18" s="3" t="str">
        <f>IF($O18=MAX(O$16:O$18,O$20:O$30,O$32:O$67,O$69:O$75,O$77:O$82,O$84:O$94,O$96:O$101,O$103:O$113,O$115:O$124),"max6",$O18)</f>
        <v/>
      </c>
      <c r="Q18" s="3" t="str">
        <f>IF($P18=MAX(P$16:P$18,P$20:P$30,P$32:P$67,P$69:P$75,P$77:P$82,P$84:P$94,P$96:P$101,P$103:P$113,P$115:P$124),"max7",$P18)</f>
        <v/>
      </c>
      <c r="R18" s="3" t="str">
        <f>IF($Q18=MAX(Q$16:Q$18,Q$20:Q$30,Q$32:Q$67,Q$69:Q$75,Q$77:Q$82,Q$84:Q$94,Q$96:Q$101,Q$103:Q$113,Q$115:Q$124),"max8",$Q18)</f>
        <v/>
      </c>
      <c r="S18" s="3" t="str">
        <f>IF($R18=MAX(R$16:R$18,R$20:R$30,R$32:R$67,R$69:R$75,R$77:R$82,R$84:R$94,R$96:R$101,R$103:R$113,R$115:R$124),"max9",$R18)</f>
        <v/>
      </c>
      <c r="T18" s="3" t="str">
        <f>IF($S18=MAX(S$16:S$18,S$20:S$30,S$32:S$67,S$69:S$75,S$77:S$82,S$84:S$94,S$96:S$101,S$103:S$113,S$115:S$124),"max10",$S18)</f>
        <v/>
      </c>
      <c r="U18" s="3" t="str">
        <f>IF($T18=MAX(T$16:T$18,T$20:T$30,T$32:T$67,T$69:T$75,T$77:T$82,T$84:T$94,T$96:T$101,T$103:T$113,T$115:T$124),"max11",$T18)</f>
        <v/>
      </c>
      <c r="V18" s="3" t="str">
        <f>IF($U18=MAX(U$16:U$18,U$20:U$30,U$32:U$67,U$69:U$75,U$77:U$82,U$84:U$94,U$96:U$101,U$103:U$113,U$115:U$124),"max12",$U18)</f>
        <v/>
      </c>
      <c r="W18" s="3" t="str">
        <f>IF($V18=MAX(V$16:V$18,V$20:V$30,V$32:V$67,V$69:V$75,V$77:V$82,V$84:V$94,V$96:V$101,V$103:V$113,V$115:V$124),"max13",$V18)</f>
        <v/>
      </c>
      <c r="X18" s="3" t="str">
        <f>IF($W18=MAX(W$16:W$18,W$20:W$30,W$32:W$67,W$69:W$75,W$77:W$82,W$84:W$94,W$96:W$101,W$103:W$113,W$115:W$124),"max14",$W18)</f>
        <v/>
      </c>
      <c r="Y18" s="3" t="str">
        <f>IF($X18=MAX(X$16:X$18,X$20:X$30,X$32:X$67,X$69:X$75,X$77:X$82,X$84:X$94,X$96:X$101,X$103:X$113,X$115:X$124),"max15",$X18)</f>
        <v/>
      </c>
      <c r="Z18" s="3" t="str">
        <f t="shared" si="3"/>
        <v>Outro</v>
      </c>
    </row>
    <row r="19" spans="2:26" ht="15" customHeight="1" x14ac:dyDescent="0.2">
      <c r="B19" s="73" t="str">
        <f>IF('DETALHE GANHOS E GASTOS'!B18&lt;&gt;"",'DETALHE GANHOS E GASTOS'!B18,"")</f>
        <v>6.2</v>
      </c>
      <c r="C19" s="53" t="str">
        <f>IF('DETALHE GANHOS E GASTOS'!C18&lt;&gt;"",'DETALHE GANHOS E GASTOS'!C18,"")</f>
        <v>GASTOS COM PESSOAL</v>
      </c>
      <c r="D19" s="211">
        <f>SUM(D20:D30)</f>
        <v>0</v>
      </c>
      <c r="E19" s="211">
        <f t="shared" ref="E19" si="4">SUM(E20:E30)</f>
        <v>0</v>
      </c>
      <c r="F19" s="211">
        <f t="shared" ref="F19:G19" si="5">SUM(F20:F30)</f>
        <v>4935151.17</v>
      </c>
      <c r="G19" s="309">
        <f t="shared" si="5"/>
        <v>0</v>
      </c>
      <c r="H19" s="212">
        <f t="shared" si="0"/>
        <v>-1</v>
      </c>
    </row>
    <row r="20" spans="2:26" ht="15" customHeight="1" x14ac:dyDescent="0.2">
      <c r="B20" s="77" t="str">
        <f>IF('DETALHE GANHOS E GASTOS'!B19&lt;&gt;"",'DETALHE GANHOS E GASTOS'!B19,"")</f>
        <v>6.2.1</v>
      </c>
      <c r="C20" s="48" t="str">
        <f>IF('DETALHE GANHOS E GASTOS'!C19&lt;&gt;"",'DETALHE GANHOS E GASTOS'!C19,"")</f>
        <v>Remunerações dos Órgãos Sociais</v>
      </c>
      <c r="D20" s="87">
        <f>IFERROR(INDEX('DETALHE GANHOS E GASTOS'!$C$14:$H$123,MATCH($C20,'DETALHE GANHOS E GASTOS'!$C$14:$C$123,0),4),"")</f>
        <v>0</v>
      </c>
      <c r="E20" s="87">
        <f>IFERROR(INDEX('DETALHE GANHOS E GASTOS'!$C$14:$H$123,MATCH($C20,'DETALHE GANHOS E GASTOS'!$C$14:$C$123,0),5),"")</f>
        <v>0</v>
      </c>
      <c r="F20" s="87">
        <f>IFERROR(INDEX('DETALHE GANHOS E GASTOS'!$C$14:$H$123,MATCH($C20,'DETALHE GANHOS E GASTOS'!$C$14:$C$123,0),6),"")</f>
        <v>0</v>
      </c>
      <c r="G20" s="308"/>
      <c r="H20" s="61" t="str">
        <f t="shared" si="0"/>
        <v/>
      </c>
      <c r="J20" s="144" t="str">
        <f t="shared" ref="J20:J30" si="6">IF(G20="","",IFERROR(ABS(H20),""))</f>
        <v/>
      </c>
      <c r="K20" s="3" t="str">
        <f t="shared" ref="K20:K30" si="7">IF($J20=MAX(J$16:J$18,J$20:J$30,J$32:J$67,J$69:J$75,J$77:J$82,J$84:J$94,J$96:J$101,J$103:J$113,J$115:J$124),"max1",$J20)</f>
        <v/>
      </c>
      <c r="L20" s="3" t="str">
        <f t="shared" ref="L20:L30" si="8">IF($K20=MAX(K$16:K$18,K$20:K$30,K$32:K$67,K$69:K$75,K$77:K$82,K$84:K$94,K$96:K$101,K$103:K$113,K$115:K$124),"max2",$K20)</f>
        <v/>
      </c>
      <c r="M20" s="3" t="str">
        <f t="shared" ref="M20:M30" si="9">IF($L20=MAX(L$16:L$18,L$20:L$30,L$32:L$67,L$69:L$75,L$77:L$82,L$84:L$94,L$96:L$101,L$103:L$113,L$115:L$124),"max3",$L20)</f>
        <v/>
      </c>
      <c r="N20" s="3" t="str">
        <f t="shared" ref="N20:N30" si="10">IF($M20=MAX(M$16:M$18,M$20:M$30,M$32:M$67,M$69:M$75,M$77:M$82,M$84:M$94,M$96:M$101,M$103:M$113,M$115:M$124),"max4",$M20)</f>
        <v/>
      </c>
      <c r="O20" s="3" t="str">
        <f t="shared" ref="O20:O30" si="11">IF($N20=MAX(N$16:N$18,N$20:N$30,N$32:N$67,N$69:N$75,N$77:N$82,N$84:N$94,N$96:N$101,N$103:N$113,N$115:N$124),"max5",$N20)</f>
        <v/>
      </c>
      <c r="P20" s="3" t="str">
        <f t="shared" ref="P20:P30" si="12">IF($O20=MAX(O$16:O$18,O$20:O$30,O$32:O$67,O$69:O$75,O$77:O$82,O$84:O$94,O$96:O$101,O$103:O$113,O$115:O$124),"max6",$O20)</f>
        <v/>
      </c>
      <c r="Q20" s="3" t="str">
        <f t="shared" ref="Q20:Q30" si="13">IF($P20=MAX(P$16:P$18,P$20:P$30,P$32:P$67,P$69:P$75,P$77:P$82,P$84:P$94,P$96:P$101,P$103:P$113,P$115:P$124),"max7",$P20)</f>
        <v/>
      </c>
      <c r="R20" s="3" t="str">
        <f t="shared" ref="R20:R30" si="14">IF($Q20=MAX(Q$16:Q$18,Q$20:Q$30,Q$32:Q$67,Q$69:Q$75,Q$77:Q$82,Q$84:Q$94,Q$96:Q$101,Q$103:Q$113,Q$115:Q$124),"max8",$Q20)</f>
        <v/>
      </c>
      <c r="S20" s="3" t="str">
        <f t="shared" ref="S20:S30" si="15">IF($R20=MAX(R$16:R$18,R$20:R$30,R$32:R$67,R$69:R$75,R$77:R$82,R$84:R$94,R$96:R$101,R$103:R$113,R$115:R$124),"max9",$R20)</f>
        <v/>
      </c>
      <c r="T20" s="3" t="str">
        <f t="shared" ref="T20:T30" si="16">IF($S20=MAX(S$16:S$18,S$20:S$30,S$32:S$67,S$69:S$75,S$77:S$82,S$84:S$94,S$96:S$101,S$103:S$113,S$115:S$124),"max10",$S20)</f>
        <v/>
      </c>
      <c r="U20" s="3" t="str">
        <f t="shared" ref="U20:U30" si="17">IF($T20=MAX(T$16:T$18,T$20:T$30,T$32:T$67,T$69:T$75,T$77:T$82,T$84:T$94,T$96:T$101,T$103:T$113,T$115:T$124),"max11",$T20)</f>
        <v/>
      </c>
      <c r="V20" s="3" t="str">
        <f t="shared" ref="V20:V30" si="18">IF($U20=MAX(U$16:U$18,U$20:U$30,U$32:U$67,U$69:U$75,U$77:U$82,U$84:U$94,U$96:U$101,U$103:U$113,U$115:U$124),"max12",$U20)</f>
        <v/>
      </c>
      <c r="W20" s="3" t="str">
        <f t="shared" ref="W20:W30" si="19">IF($V20=MAX(V$16:V$18,V$20:V$30,V$32:V$67,V$69:V$75,V$77:V$82,V$84:V$94,V$96:V$101,V$103:V$113,V$115:V$124),"max13",$V20)</f>
        <v/>
      </c>
      <c r="X20" s="3" t="str">
        <f t="shared" ref="X20:X30" si="20">IF($W20=MAX(W$16:W$18,W$20:W$30,W$32:W$67,W$69:W$75,W$77:W$82,W$84:W$94,W$96:W$101,W$103:W$113,W$115:W$124),"max14",$W20)</f>
        <v/>
      </c>
      <c r="Y20" s="3" t="str">
        <f t="shared" ref="Y20:Y30" si="21">IF($X20=MAX(X$16:X$18,X$20:X$30,X$32:X$67,X$69:X$75,X$77:X$82,X$84:X$94,X$96:X$101,X$103:X$113,X$115:X$124),"max15",$X20)</f>
        <v/>
      </c>
      <c r="Z20" s="3" t="str">
        <f t="shared" si="3"/>
        <v>Outro</v>
      </c>
    </row>
    <row r="21" spans="2:26" ht="15" customHeight="1" x14ac:dyDescent="0.2">
      <c r="B21" s="77" t="str">
        <f>IF('DETALHE GANHOS E GASTOS'!B20&lt;&gt;"",'DETALHE GANHOS E GASTOS'!B20,"")</f>
        <v>6.2.2</v>
      </c>
      <c r="C21" s="48" t="str">
        <f>IF('DETALHE GANHOS E GASTOS'!C20&lt;&gt;"",'DETALHE GANHOS E GASTOS'!C20,"")</f>
        <v>Remunerações dos trabalhadores</v>
      </c>
      <c r="D21" s="87">
        <f>IFERROR(INDEX('DETALHE GANHOS E GASTOS'!$C$14:$H$123,MATCH($C21,'DETALHE GANHOS E GASTOS'!$C$14:$C$123,0),4),"")</f>
        <v>0</v>
      </c>
      <c r="E21" s="87">
        <f>IFERROR(INDEX('DETALHE GANHOS E GASTOS'!$C$14:$H$123,MATCH($C21,'DETALHE GANHOS E GASTOS'!$C$14:$C$123,0),5),"")</f>
        <v>0</v>
      </c>
      <c r="F21" s="87">
        <f>IFERROR(INDEX('DETALHE GANHOS E GASTOS'!$C$14:$H$123,MATCH($C21,'DETALHE GANHOS E GASTOS'!$C$14:$C$123,0),6),"")</f>
        <v>4744896.8499999996</v>
      </c>
      <c r="G21" s="308"/>
      <c r="H21" s="61">
        <f t="shared" si="0"/>
        <v>-1</v>
      </c>
      <c r="J21" s="144" t="str">
        <f t="shared" si="6"/>
        <v/>
      </c>
      <c r="K21" s="3" t="str">
        <f t="shared" si="7"/>
        <v/>
      </c>
      <c r="L21" s="3" t="str">
        <f t="shared" si="8"/>
        <v/>
      </c>
      <c r="M21" s="3" t="str">
        <f t="shared" si="9"/>
        <v/>
      </c>
      <c r="N21" s="3" t="str">
        <f t="shared" si="10"/>
        <v/>
      </c>
      <c r="O21" s="3" t="str">
        <f t="shared" si="11"/>
        <v/>
      </c>
      <c r="P21" s="3" t="str">
        <f t="shared" si="12"/>
        <v/>
      </c>
      <c r="Q21" s="3" t="str">
        <f t="shared" si="13"/>
        <v/>
      </c>
      <c r="R21" s="3" t="str">
        <f t="shared" si="14"/>
        <v/>
      </c>
      <c r="S21" s="3" t="str">
        <f t="shared" si="15"/>
        <v/>
      </c>
      <c r="T21" s="3" t="str">
        <f t="shared" si="16"/>
        <v/>
      </c>
      <c r="U21" s="3" t="str">
        <f t="shared" si="17"/>
        <v/>
      </c>
      <c r="V21" s="3" t="str">
        <f t="shared" si="18"/>
        <v/>
      </c>
      <c r="W21" s="3" t="str">
        <f t="shared" si="19"/>
        <v/>
      </c>
      <c r="X21" s="3" t="str">
        <f t="shared" si="20"/>
        <v/>
      </c>
      <c r="Y21" s="3" t="str">
        <f t="shared" si="21"/>
        <v/>
      </c>
      <c r="Z21" s="3" t="str">
        <f t="shared" si="3"/>
        <v>Outro</v>
      </c>
    </row>
    <row r="22" spans="2:26" ht="15" customHeight="1" x14ac:dyDescent="0.2">
      <c r="B22" s="77" t="str">
        <f>IF('DETALHE GANHOS E GASTOS'!B21&lt;&gt;"",'DETALHE GANHOS E GASTOS'!B21,"")</f>
        <v>6.2.3</v>
      </c>
      <c r="C22" s="48" t="str">
        <f>IF('DETALHE GANHOS E GASTOS'!C21&lt;&gt;"",'DETALHE GANHOS E GASTOS'!C21,"")</f>
        <v>Encargos sobre remuneracoes</v>
      </c>
      <c r="D22" s="87">
        <f>IFERROR(INDEX('DETALHE GANHOS E GASTOS'!$C$14:$H$123,MATCH($C22,'DETALHE GANHOS E GASTOS'!$C$14:$C$123,0),4),"")</f>
        <v>0</v>
      </c>
      <c r="E22" s="87">
        <f>IFERROR(INDEX('DETALHE GANHOS E GASTOS'!$C$14:$H$123,MATCH($C22,'DETALHE GANHOS E GASTOS'!$C$14:$C$123,0),5),"")</f>
        <v>0</v>
      </c>
      <c r="F22" s="87">
        <f>IFERROR(INDEX('DETALHE GANHOS E GASTOS'!$C$14:$H$123,MATCH($C22,'DETALHE GANHOS E GASTOS'!$C$14:$C$123,0),6),"")</f>
        <v>190254.32</v>
      </c>
      <c r="G22" s="308"/>
      <c r="H22" s="61">
        <f t="shared" si="0"/>
        <v>-1</v>
      </c>
      <c r="J22" s="144" t="str">
        <f t="shared" si="6"/>
        <v/>
      </c>
      <c r="K22" s="3" t="str">
        <f t="shared" si="7"/>
        <v/>
      </c>
      <c r="L22" s="3" t="str">
        <f t="shared" si="8"/>
        <v/>
      </c>
      <c r="M22" s="3" t="str">
        <f t="shared" si="9"/>
        <v/>
      </c>
      <c r="N22" s="3" t="str">
        <f t="shared" si="10"/>
        <v/>
      </c>
      <c r="O22" s="3" t="str">
        <f t="shared" si="11"/>
        <v/>
      </c>
      <c r="P22" s="3" t="str">
        <f t="shared" si="12"/>
        <v/>
      </c>
      <c r="Q22" s="3" t="str">
        <f t="shared" si="13"/>
        <v/>
      </c>
      <c r="R22" s="3" t="str">
        <f t="shared" si="14"/>
        <v/>
      </c>
      <c r="S22" s="3" t="str">
        <f t="shared" si="15"/>
        <v/>
      </c>
      <c r="T22" s="3" t="str">
        <f t="shared" si="16"/>
        <v/>
      </c>
      <c r="U22" s="3" t="str">
        <f t="shared" si="17"/>
        <v/>
      </c>
      <c r="V22" s="3" t="str">
        <f t="shared" si="18"/>
        <v/>
      </c>
      <c r="W22" s="3" t="str">
        <f t="shared" si="19"/>
        <v/>
      </c>
      <c r="X22" s="3" t="str">
        <f t="shared" si="20"/>
        <v/>
      </c>
      <c r="Y22" s="3" t="str">
        <f t="shared" si="21"/>
        <v/>
      </c>
      <c r="Z22" s="3" t="str">
        <f t="shared" si="3"/>
        <v>Outro</v>
      </c>
    </row>
    <row r="23" spans="2:26" ht="15" customHeight="1" x14ac:dyDescent="0.2">
      <c r="B23" s="77" t="str">
        <f>IF('DETALHE GANHOS E GASTOS'!B22&lt;&gt;"",'DETALHE GANHOS E GASTOS'!B22,"")</f>
        <v>6.2.4</v>
      </c>
      <c r="C23" s="48" t="str">
        <f>IF('DETALHE GANHOS E GASTOS'!C22&lt;&gt;"",'DETALHE GANHOS E GASTOS'!C22,"")</f>
        <v>Benefícios Pós-Emprego</v>
      </c>
      <c r="D23" s="87">
        <f>IFERROR(INDEX('DETALHE GANHOS E GASTOS'!$C$14:$H$123,MATCH($C23,'DETALHE GANHOS E GASTOS'!$C$14:$C$123,0),4),"")</f>
        <v>0</v>
      </c>
      <c r="E23" s="87">
        <f>IFERROR(INDEX('DETALHE GANHOS E GASTOS'!$C$14:$H$123,MATCH($C23,'DETALHE GANHOS E GASTOS'!$C$14:$C$123,0),5),"")</f>
        <v>0</v>
      </c>
      <c r="F23" s="87">
        <f>IFERROR(INDEX('DETALHE GANHOS E GASTOS'!$C$14:$H$123,MATCH($C23,'DETALHE GANHOS E GASTOS'!$C$14:$C$123,0),6),"")</f>
        <v>0</v>
      </c>
      <c r="G23" s="308"/>
      <c r="H23" s="61" t="str">
        <f t="shared" si="0"/>
        <v/>
      </c>
      <c r="J23" s="144" t="str">
        <f t="shared" si="6"/>
        <v/>
      </c>
      <c r="K23" s="3" t="str">
        <f t="shared" si="7"/>
        <v/>
      </c>
      <c r="L23" s="3" t="str">
        <f t="shared" si="8"/>
        <v/>
      </c>
      <c r="M23" s="3" t="str">
        <f t="shared" si="9"/>
        <v/>
      </c>
      <c r="N23" s="3" t="str">
        <f t="shared" si="10"/>
        <v/>
      </c>
      <c r="O23" s="3" t="str">
        <f t="shared" si="11"/>
        <v/>
      </c>
      <c r="P23" s="3" t="str">
        <f t="shared" si="12"/>
        <v/>
      </c>
      <c r="Q23" s="3" t="str">
        <f t="shared" si="13"/>
        <v/>
      </c>
      <c r="R23" s="3" t="str">
        <f t="shared" si="14"/>
        <v/>
      </c>
      <c r="S23" s="3" t="str">
        <f t="shared" si="15"/>
        <v/>
      </c>
      <c r="T23" s="3" t="str">
        <f t="shared" si="16"/>
        <v/>
      </c>
      <c r="U23" s="3" t="str">
        <f t="shared" si="17"/>
        <v/>
      </c>
      <c r="V23" s="3" t="str">
        <f t="shared" si="18"/>
        <v/>
      </c>
      <c r="W23" s="3" t="str">
        <f t="shared" si="19"/>
        <v/>
      </c>
      <c r="X23" s="3" t="str">
        <f t="shared" si="20"/>
        <v/>
      </c>
      <c r="Y23" s="3" t="str">
        <f t="shared" si="21"/>
        <v/>
      </c>
      <c r="Z23" s="3" t="str">
        <f t="shared" si="3"/>
        <v>Outro</v>
      </c>
    </row>
    <row r="24" spans="2:26" ht="15" customHeight="1" x14ac:dyDescent="0.2">
      <c r="B24" s="77" t="str">
        <f>IF('DETALHE GANHOS E GASTOS'!B23&lt;&gt;"",'DETALHE GANHOS E GASTOS'!B23,"")</f>
        <v>6.2.5</v>
      </c>
      <c r="C24" s="48" t="str">
        <f>IF('DETALHE GANHOS E GASTOS'!C23&lt;&gt;"",'DETALHE GANHOS E GASTOS'!C23,"")</f>
        <v>Ajudas de Custo</v>
      </c>
      <c r="D24" s="87">
        <f>IFERROR(INDEX('DETALHE GANHOS E GASTOS'!$C$14:$H$123,MATCH($C24,'DETALHE GANHOS E GASTOS'!$C$14:$C$123,0),4),"")</f>
        <v>0</v>
      </c>
      <c r="E24" s="87">
        <f>IFERROR(INDEX('DETALHE GANHOS E GASTOS'!$C$14:$H$123,MATCH($C24,'DETALHE GANHOS E GASTOS'!$C$14:$C$123,0),5),"")</f>
        <v>0</v>
      </c>
      <c r="F24" s="87">
        <f>IFERROR(INDEX('DETALHE GANHOS E GASTOS'!$C$14:$H$123,MATCH($C24,'DETALHE GANHOS E GASTOS'!$C$14:$C$123,0),6),"")</f>
        <v>0</v>
      </c>
      <c r="G24" s="308"/>
      <c r="H24" s="61" t="str">
        <f t="shared" si="0"/>
        <v/>
      </c>
      <c r="J24" s="144" t="str">
        <f t="shared" si="6"/>
        <v/>
      </c>
      <c r="K24" s="3" t="str">
        <f t="shared" si="7"/>
        <v/>
      </c>
      <c r="L24" s="3" t="str">
        <f t="shared" si="8"/>
        <v/>
      </c>
      <c r="M24" s="3" t="str">
        <f t="shared" si="9"/>
        <v/>
      </c>
      <c r="N24" s="3" t="str">
        <f t="shared" si="10"/>
        <v/>
      </c>
      <c r="O24" s="3" t="str">
        <f t="shared" si="11"/>
        <v/>
      </c>
      <c r="P24" s="3" t="str">
        <f t="shared" si="12"/>
        <v/>
      </c>
      <c r="Q24" s="3" t="str">
        <f t="shared" si="13"/>
        <v/>
      </c>
      <c r="R24" s="3" t="str">
        <f t="shared" si="14"/>
        <v/>
      </c>
      <c r="S24" s="3" t="str">
        <f t="shared" si="15"/>
        <v/>
      </c>
      <c r="T24" s="3" t="str">
        <f t="shared" si="16"/>
        <v/>
      </c>
      <c r="U24" s="3" t="str">
        <f t="shared" si="17"/>
        <v/>
      </c>
      <c r="V24" s="3" t="str">
        <f t="shared" si="18"/>
        <v/>
      </c>
      <c r="W24" s="3" t="str">
        <f t="shared" si="19"/>
        <v/>
      </c>
      <c r="X24" s="3" t="str">
        <f t="shared" si="20"/>
        <v/>
      </c>
      <c r="Y24" s="3" t="str">
        <f t="shared" si="21"/>
        <v/>
      </c>
      <c r="Z24" s="3" t="str">
        <f t="shared" si="3"/>
        <v>Outro</v>
      </c>
    </row>
    <row r="25" spans="2:26" ht="15" customHeight="1" x14ac:dyDescent="0.2">
      <c r="B25" s="77" t="str">
        <f>IF('DETALHE GANHOS E GASTOS'!B24&lt;&gt;"",'DETALHE GANHOS E GASTOS'!B24,"")</f>
        <v>6.2.6</v>
      </c>
      <c r="C25" s="48" t="str">
        <f>IF('DETALHE GANHOS E GASTOS'!C24&lt;&gt;"",'DETALHE GANHOS E GASTOS'!C24,"")</f>
        <v>Indemnizacoes</v>
      </c>
      <c r="D25" s="87">
        <f>IFERROR(INDEX('DETALHE GANHOS E GASTOS'!$C$14:$H$123,MATCH($C25,'DETALHE GANHOS E GASTOS'!$C$14:$C$123,0),4),"")</f>
        <v>0</v>
      </c>
      <c r="E25" s="87">
        <f>IFERROR(INDEX('DETALHE GANHOS E GASTOS'!$C$14:$H$123,MATCH($C25,'DETALHE GANHOS E GASTOS'!$C$14:$C$123,0),5),"")</f>
        <v>0</v>
      </c>
      <c r="F25" s="87">
        <f>IFERROR(INDEX('DETALHE GANHOS E GASTOS'!$C$14:$H$123,MATCH($C25,'DETALHE GANHOS E GASTOS'!$C$14:$C$123,0),6),"")</f>
        <v>0</v>
      </c>
      <c r="G25" s="308"/>
      <c r="H25" s="61" t="str">
        <f t="shared" si="0"/>
        <v/>
      </c>
      <c r="J25" s="144" t="str">
        <f t="shared" si="6"/>
        <v/>
      </c>
      <c r="K25" s="3" t="str">
        <f t="shared" si="7"/>
        <v/>
      </c>
      <c r="L25" s="3" t="str">
        <f t="shared" si="8"/>
        <v/>
      </c>
      <c r="M25" s="3" t="str">
        <f t="shared" si="9"/>
        <v/>
      </c>
      <c r="N25" s="3" t="str">
        <f t="shared" si="10"/>
        <v/>
      </c>
      <c r="O25" s="3" t="str">
        <f t="shared" si="11"/>
        <v/>
      </c>
      <c r="P25" s="3" t="str">
        <f t="shared" si="12"/>
        <v/>
      </c>
      <c r="Q25" s="3" t="str">
        <f t="shared" si="13"/>
        <v/>
      </c>
      <c r="R25" s="3" t="str">
        <f t="shared" si="14"/>
        <v/>
      </c>
      <c r="S25" s="3" t="str">
        <f t="shared" si="15"/>
        <v/>
      </c>
      <c r="T25" s="3" t="str">
        <f t="shared" si="16"/>
        <v/>
      </c>
      <c r="U25" s="3" t="str">
        <f t="shared" si="17"/>
        <v/>
      </c>
      <c r="V25" s="3" t="str">
        <f t="shared" si="18"/>
        <v/>
      </c>
      <c r="W25" s="3" t="str">
        <f t="shared" si="19"/>
        <v/>
      </c>
      <c r="X25" s="3" t="str">
        <f t="shared" si="20"/>
        <v/>
      </c>
      <c r="Y25" s="3" t="str">
        <f t="shared" si="21"/>
        <v/>
      </c>
      <c r="Z25" s="3" t="str">
        <f t="shared" si="3"/>
        <v>Outro</v>
      </c>
    </row>
    <row r="26" spans="2:26" ht="15" customHeight="1" x14ac:dyDescent="0.2">
      <c r="B26" s="77" t="str">
        <f>IF('DETALHE GANHOS E GASTOS'!B25&lt;&gt;"",'DETALHE GANHOS E GASTOS'!B25,"")</f>
        <v>6.2.7</v>
      </c>
      <c r="C26" s="48" t="str">
        <f>IF('DETALHE GANHOS E GASTOS'!C25&lt;&gt;"",'DETALHE GANHOS E GASTOS'!C25,"")</f>
        <v>Seguros Ac. Trabalho e Doenças Profissionais</v>
      </c>
      <c r="D26" s="87">
        <f>IFERROR(INDEX('DETALHE GANHOS E GASTOS'!$C$14:$H$123,MATCH($C26,'DETALHE GANHOS E GASTOS'!$C$14:$C$123,0),4),"")</f>
        <v>0</v>
      </c>
      <c r="E26" s="87">
        <f>IFERROR(INDEX('DETALHE GANHOS E GASTOS'!$C$14:$H$123,MATCH($C26,'DETALHE GANHOS E GASTOS'!$C$14:$C$123,0),5),"")</f>
        <v>0</v>
      </c>
      <c r="F26" s="87">
        <f>IFERROR(INDEX('DETALHE GANHOS E GASTOS'!$C$14:$H$123,MATCH($C26,'DETALHE GANHOS E GASTOS'!$C$14:$C$123,0),6),"")</f>
        <v>0</v>
      </c>
      <c r="G26" s="308"/>
      <c r="H26" s="61" t="str">
        <f t="shared" si="0"/>
        <v/>
      </c>
      <c r="J26" s="144" t="str">
        <f t="shared" si="6"/>
        <v/>
      </c>
      <c r="K26" s="3" t="str">
        <f t="shared" si="7"/>
        <v/>
      </c>
      <c r="L26" s="3" t="str">
        <f t="shared" si="8"/>
        <v/>
      </c>
      <c r="M26" s="3" t="str">
        <f t="shared" si="9"/>
        <v/>
      </c>
      <c r="N26" s="3" t="str">
        <f t="shared" si="10"/>
        <v/>
      </c>
      <c r="O26" s="3" t="str">
        <f t="shared" si="11"/>
        <v/>
      </c>
      <c r="P26" s="3" t="str">
        <f t="shared" si="12"/>
        <v/>
      </c>
      <c r="Q26" s="3" t="str">
        <f t="shared" si="13"/>
        <v/>
      </c>
      <c r="R26" s="3" t="str">
        <f t="shared" si="14"/>
        <v/>
      </c>
      <c r="S26" s="3" t="str">
        <f t="shared" si="15"/>
        <v/>
      </c>
      <c r="T26" s="3" t="str">
        <f t="shared" si="16"/>
        <v/>
      </c>
      <c r="U26" s="3" t="str">
        <f t="shared" si="17"/>
        <v/>
      </c>
      <c r="V26" s="3" t="str">
        <f t="shared" si="18"/>
        <v/>
      </c>
      <c r="W26" s="3" t="str">
        <f t="shared" si="19"/>
        <v/>
      </c>
      <c r="X26" s="3" t="str">
        <f t="shared" si="20"/>
        <v/>
      </c>
      <c r="Y26" s="3" t="str">
        <f t="shared" si="21"/>
        <v/>
      </c>
      <c r="Z26" s="3" t="str">
        <f t="shared" si="3"/>
        <v>Outro</v>
      </c>
    </row>
    <row r="27" spans="2:26" ht="15" customHeight="1" x14ac:dyDescent="0.2">
      <c r="B27" s="77" t="str">
        <f>IF('DETALHE GANHOS E GASTOS'!B26&lt;&gt;"",'DETALHE GANHOS E GASTOS'!B26,"")</f>
        <v>6.2.8</v>
      </c>
      <c r="C27" s="48" t="str">
        <f>IF('DETALHE GANHOS E GASTOS'!C26&lt;&gt;"",'DETALHE GANHOS E GASTOS'!C26,"")</f>
        <v>Gastos de Acção Social</v>
      </c>
      <c r="D27" s="87">
        <f>IFERROR(INDEX('DETALHE GANHOS E GASTOS'!$C$14:$H$123,MATCH($C27,'DETALHE GANHOS E GASTOS'!$C$14:$C$123,0),4),"")</f>
        <v>0</v>
      </c>
      <c r="E27" s="87">
        <f>IFERROR(INDEX('DETALHE GANHOS E GASTOS'!$C$14:$H$123,MATCH($C27,'DETALHE GANHOS E GASTOS'!$C$14:$C$123,0),5),"")</f>
        <v>0</v>
      </c>
      <c r="F27" s="87">
        <f>IFERROR(INDEX('DETALHE GANHOS E GASTOS'!$C$14:$H$123,MATCH($C27,'DETALHE GANHOS E GASTOS'!$C$14:$C$123,0),6),"")</f>
        <v>0</v>
      </c>
      <c r="G27" s="308"/>
      <c r="H27" s="61" t="str">
        <f t="shared" si="0"/>
        <v/>
      </c>
      <c r="J27" s="144" t="str">
        <f t="shared" si="6"/>
        <v/>
      </c>
      <c r="K27" s="3" t="str">
        <f t="shared" si="7"/>
        <v/>
      </c>
      <c r="L27" s="3" t="str">
        <f t="shared" si="8"/>
        <v/>
      </c>
      <c r="M27" s="3" t="str">
        <f t="shared" si="9"/>
        <v/>
      </c>
      <c r="N27" s="3" t="str">
        <f t="shared" si="10"/>
        <v/>
      </c>
      <c r="O27" s="3" t="str">
        <f t="shared" si="11"/>
        <v/>
      </c>
      <c r="P27" s="3" t="str">
        <f t="shared" si="12"/>
        <v/>
      </c>
      <c r="Q27" s="3" t="str">
        <f t="shared" si="13"/>
        <v/>
      </c>
      <c r="R27" s="3" t="str">
        <f t="shared" si="14"/>
        <v/>
      </c>
      <c r="S27" s="3" t="str">
        <f t="shared" si="15"/>
        <v/>
      </c>
      <c r="T27" s="3" t="str">
        <f t="shared" si="16"/>
        <v/>
      </c>
      <c r="U27" s="3" t="str">
        <f t="shared" si="17"/>
        <v/>
      </c>
      <c r="V27" s="3" t="str">
        <f t="shared" si="18"/>
        <v/>
      </c>
      <c r="W27" s="3" t="str">
        <f t="shared" si="19"/>
        <v/>
      </c>
      <c r="X27" s="3" t="str">
        <f t="shared" si="20"/>
        <v/>
      </c>
      <c r="Y27" s="3" t="str">
        <f t="shared" si="21"/>
        <v/>
      </c>
      <c r="Z27" s="3" t="str">
        <f t="shared" si="3"/>
        <v>Outro</v>
      </c>
    </row>
    <row r="28" spans="2:26" ht="15" customHeight="1" x14ac:dyDescent="0.2">
      <c r="B28" s="77" t="str">
        <f>IF('DETALHE GANHOS E GASTOS'!B27&lt;&gt;"",'DETALHE GANHOS E GASTOS'!B27,"")</f>
        <v>6.2.9</v>
      </c>
      <c r="C28" s="48" t="str">
        <f>IF('DETALHE GANHOS E GASTOS'!C27&lt;&gt;"",'DETALHE GANHOS E GASTOS'!C27,"")</f>
        <v>Outros Gastos com Pessoal</v>
      </c>
      <c r="D28" s="87">
        <f>IFERROR(INDEX('DETALHE GANHOS E GASTOS'!$C$14:$H$123,MATCH($C28,'DETALHE GANHOS E GASTOS'!$C$14:$C$123,0),4),"")</f>
        <v>0</v>
      </c>
      <c r="E28" s="87">
        <f>IFERROR(INDEX('DETALHE GANHOS E GASTOS'!$C$14:$H$123,MATCH($C28,'DETALHE GANHOS E GASTOS'!$C$14:$C$123,0),5),"")</f>
        <v>0</v>
      </c>
      <c r="F28" s="87">
        <f>IFERROR(INDEX('DETALHE GANHOS E GASTOS'!$C$14:$H$123,MATCH($C28,'DETALHE GANHOS E GASTOS'!$C$14:$C$123,0),6),"")</f>
        <v>0</v>
      </c>
      <c r="G28" s="308"/>
      <c r="H28" s="61" t="str">
        <f t="shared" si="0"/>
        <v/>
      </c>
      <c r="J28" s="144" t="str">
        <f t="shared" si="6"/>
        <v/>
      </c>
      <c r="K28" s="3" t="str">
        <f t="shared" si="7"/>
        <v/>
      </c>
      <c r="L28" s="3" t="str">
        <f t="shared" si="8"/>
        <v/>
      </c>
      <c r="M28" s="3" t="str">
        <f t="shared" si="9"/>
        <v/>
      </c>
      <c r="N28" s="3" t="str">
        <f t="shared" si="10"/>
        <v/>
      </c>
      <c r="O28" s="3" t="str">
        <f t="shared" si="11"/>
        <v/>
      </c>
      <c r="P28" s="3" t="str">
        <f t="shared" si="12"/>
        <v/>
      </c>
      <c r="Q28" s="3" t="str">
        <f t="shared" si="13"/>
        <v/>
      </c>
      <c r="R28" s="3" t="str">
        <f t="shared" si="14"/>
        <v/>
      </c>
      <c r="S28" s="3" t="str">
        <f t="shared" si="15"/>
        <v/>
      </c>
      <c r="T28" s="3" t="str">
        <f t="shared" si="16"/>
        <v/>
      </c>
      <c r="U28" s="3" t="str">
        <f t="shared" si="17"/>
        <v/>
      </c>
      <c r="V28" s="3" t="str">
        <f t="shared" si="18"/>
        <v/>
      </c>
      <c r="W28" s="3" t="str">
        <f t="shared" si="19"/>
        <v/>
      </c>
      <c r="X28" s="3" t="str">
        <f t="shared" si="20"/>
        <v/>
      </c>
      <c r="Y28" s="3" t="str">
        <f t="shared" si="21"/>
        <v/>
      </c>
      <c r="Z28" s="3" t="str">
        <f t="shared" si="3"/>
        <v>Outro</v>
      </c>
    </row>
    <row r="29" spans="2:26" ht="15" customHeight="1" x14ac:dyDescent="0.2">
      <c r="B29" s="77" t="str">
        <f>IF('DETALHE GANHOS E GASTOS'!B28&lt;&gt;"",'DETALHE GANHOS E GASTOS'!B28,"")</f>
        <v/>
      </c>
      <c r="C29" s="48" t="str">
        <f>IF('DETALHE GANHOS E GASTOS'!C28&lt;&gt;"",'DETALHE GANHOS E GASTOS'!C28,"")</f>
        <v/>
      </c>
      <c r="D29" s="87" t="str">
        <f>IFERROR(INDEX('DETALHE GANHOS E GASTOS'!$C$14:$H$123,MATCH($C29,'DETALHE GANHOS E GASTOS'!$C$14:$C$123,0),4),"")</f>
        <v/>
      </c>
      <c r="E29" s="87" t="str">
        <f>IFERROR(INDEX('DETALHE GANHOS E GASTOS'!$C$14:$H$123,MATCH($C29,'DETALHE GANHOS E GASTOS'!$C$14:$C$123,0),5),"")</f>
        <v/>
      </c>
      <c r="F29" s="87" t="str">
        <f>IFERROR(INDEX('DETALHE GANHOS E GASTOS'!$C$14:$H$123,MATCH($C29,'DETALHE GANHOS E GASTOS'!$C$14:$C$123,0),6),"")</f>
        <v/>
      </c>
      <c r="G29" s="308"/>
      <c r="H29" s="61" t="str">
        <f t="shared" si="0"/>
        <v/>
      </c>
      <c r="J29" s="144" t="str">
        <f t="shared" si="6"/>
        <v/>
      </c>
      <c r="K29" s="3" t="str">
        <f t="shared" si="7"/>
        <v/>
      </c>
      <c r="L29" s="3" t="str">
        <f t="shared" si="8"/>
        <v/>
      </c>
      <c r="M29" s="3" t="str">
        <f t="shared" si="9"/>
        <v/>
      </c>
      <c r="N29" s="3" t="str">
        <f t="shared" si="10"/>
        <v/>
      </c>
      <c r="O29" s="3" t="str">
        <f t="shared" si="11"/>
        <v/>
      </c>
      <c r="P29" s="3" t="str">
        <f t="shared" si="12"/>
        <v/>
      </c>
      <c r="Q29" s="3" t="str">
        <f t="shared" si="13"/>
        <v/>
      </c>
      <c r="R29" s="3" t="str">
        <f t="shared" si="14"/>
        <v/>
      </c>
      <c r="S29" s="3" t="str">
        <f t="shared" si="15"/>
        <v/>
      </c>
      <c r="T29" s="3" t="str">
        <f t="shared" si="16"/>
        <v/>
      </c>
      <c r="U29" s="3" t="str">
        <f t="shared" si="17"/>
        <v/>
      </c>
      <c r="V29" s="3" t="str">
        <f t="shared" si="18"/>
        <v/>
      </c>
      <c r="W29" s="3" t="str">
        <f t="shared" si="19"/>
        <v/>
      </c>
      <c r="X29" s="3" t="str">
        <f t="shared" si="20"/>
        <v/>
      </c>
      <c r="Y29" s="3" t="str">
        <f t="shared" si="21"/>
        <v/>
      </c>
      <c r="Z29" s="3" t="str">
        <f t="shared" si="3"/>
        <v>Outro</v>
      </c>
    </row>
    <row r="30" spans="2:26" ht="15" customHeight="1" x14ac:dyDescent="0.2">
      <c r="B30" s="77" t="str">
        <f>IF('DETALHE GANHOS E GASTOS'!B29&lt;&gt;"",'DETALHE GANHOS E GASTOS'!B29,"")</f>
        <v/>
      </c>
      <c r="C30" s="48" t="str">
        <f>IF('DETALHE GANHOS E GASTOS'!C29&lt;&gt;"",'DETALHE GANHOS E GASTOS'!C29,"")</f>
        <v/>
      </c>
      <c r="D30" s="87" t="str">
        <f>IFERROR(INDEX('DETALHE GANHOS E GASTOS'!$C$14:$H$123,MATCH($C30,'DETALHE GANHOS E GASTOS'!$C$14:$C$123,0),4),"")</f>
        <v/>
      </c>
      <c r="E30" s="87" t="str">
        <f>IFERROR(INDEX('DETALHE GANHOS E GASTOS'!$C$14:$H$123,MATCH($C30,'DETALHE GANHOS E GASTOS'!$C$14:$C$123,0),5),"")</f>
        <v/>
      </c>
      <c r="F30" s="87" t="str">
        <f>IFERROR(INDEX('DETALHE GANHOS E GASTOS'!$C$14:$H$123,MATCH($C30,'DETALHE GANHOS E GASTOS'!$C$14:$C$123,0),6),"")</f>
        <v/>
      </c>
      <c r="G30" s="308"/>
      <c r="H30" s="61" t="str">
        <f t="shared" si="0"/>
        <v/>
      </c>
      <c r="J30" s="144" t="str">
        <f t="shared" si="6"/>
        <v/>
      </c>
      <c r="K30" s="3" t="str">
        <f t="shared" si="7"/>
        <v/>
      </c>
      <c r="L30" s="3" t="str">
        <f t="shared" si="8"/>
        <v/>
      </c>
      <c r="M30" s="3" t="str">
        <f t="shared" si="9"/>
        <v/>
      </c>
      <c r="N30" s="3" t="str">
        <f t="shared" si="10"/>
        <v/>
      </c>
      <c r="O30" s="3" t="str">
        <f t="shared" si="11"/>
        <v/>
      </c>
      <c r="P30" s="3" t="str">
        <f t="shared" si="12"/>
        <v/>
      </c>
      <c r="Q30" s="3" t="str">
        <f t="shared" si="13"/>
        <v/>
      </c>
      <c r="R30" s="3" t="str">
        <f t="shared" si="14"/>
        <v/>
      </c>
      <c r="S30" s="3" t="str">
        <f t="shared" si="15"/>
        <v/>
      </c>
      <c r="T30" s="3" t="str">
        <f t="shared" si="16"/>
        <v/>
      </c>
      <c r="U30" s="3" t="str">
        <f t="shared" si="17"/>
        <v/>
      </c>
      <c r="V30" s="3" t="str">
        <f t="shared" si="18"/>
        <v/>
      </c>
      <c r="W30" s="3" t="str">
        <f t="shared" si="19"/>
        <v/>
      </c>
      <c r="X30" s="3" t="str">
        <f t="shared" si="20"/>
        <v/>
      </c>
      <c r="Y30" s="3" t="str">
        <f t="shared" si="21"/>
        <v/>
      </c>
      <c r="Z30" s="3" t="str">
        <f t="shared" si="3"/>
        <v>Outro</v>
      </c>
    </row>
    <row r="31" spans="2:26" ht="15" customHeight="1" x14ac:dyDescent="0.2">
      <c r="B31" s="73" t="str">
        <f>IF('DETALHE GANHOS E GASTOS'!B30&lt;&gt;"",'DETALHE GANHOS E GASTOS'!B30,"")</f>
        <v>6.3</v>
      </c>
      <c r="C31" s="53" t="str">
        <f>IF('DETALHE GANHOS E GASTOS'!C30&lt;&gt;"",'DETALHE GANHOS E GASTOS'!C30,"")</f>
        <v>FORNEC. E SERVICOS DE TERCEIROS</v>
      </c>
      <c r="D31" s="211">
        <f>SUM(D32:D67)</f>
        <v>0</v>
      </c>
      <c r="E31" s="211">
        <f>SUM(E32:E67)</f>
        <v>0</v>
      </c>
      <c r="F31" s="211">
        <f>SUM(F32:F67)</f>
        <v>1778819.48</v>
      </c>
      <c r="G31" s="309">
        <f>SUM(G32:G67)</f>
        <v>0</v>
      </c>
      <c r="H31" s="212">
        <f t="shared" si="0"/>
        <v>-1</v>
      </c>
    </row>
    <row r="32" spans="2:26" ht="15" customHeight="1" x14ac:dyDescent="0.2">
      <c r="B32" s="77" t="str">
        <f>IF('DETALHE GANHOS E GASTOS'!B31&lt;&gt;"",'DETALHE GANHOS E GASTOS'!B31,"")</f>
        <v>6.3.1</v>
      </c>
      <c r="C32" s="48" t="str">
        <f>IF('DETALHE GANHOS E GASTOS'!C31&lt;&gt;"",'DETALHE GANHOS E GASTOS'!C31,"")</f>
        <v>Subcontratos</v>
      </c>
      <c r="D32" s="87">
        <f>IFERROR(INDEX('DETALHE GANHOS E GASTOS'!$C$14:$H$123,MATCH($C32,'DETALHE GANHOS E GASTOS'!$C$14:$C$123,0),4),"")</f>
        <v>0</v>
      </c>
      <c r="E32" s="87">
        <f>IFERROR(INDEX('DETALHE GANHOS E GASTOS'!$C$14:$H$123,MATCH($C32,'DETALHE GANHOS E GASTOS'!$C$14:$C$123,0),5),"")</f>
        <v>0</v>
      </c>
      <c r="F32" s="87">
        <f>IFERROR(INDEX('DETALHE GANHOS E GASTOS'!$C$14:$H$123,MATCH($C32,'DETALHE GANHOS E GASTOS'!$C$14:$C$123,0),6),"")</f>
        <v>0</v>
      </c>
      <c r="G32" s="308"/>
      <c r="H32" s="61" t="str">
        <f t="shared" si="0"/>
        <v/>
      </c>
      <c r="J32" s="144" t="str">
        <f t="shared" ref="J32:J39" si="22">IF(G32="","",IFERROR(ABS(H32),""))</f>
        <v/>
      </c>
      <c r="K32" s="3" t="str">
        <f t="shared" ref="K32:K67" si="23">IF($J32=MAX(J$16:J$18,J$20:J$30,J$32:J$67,J$69:J$75,J$77:J$82,J$84:J$94,J$96:J$101,J$103:J$113,J$115:J$124),"max1",$J32)</f>
        <v/>
      </c>
      <c r="L32" s="3" t="str">
        <f t="shared" ref="L32:L67" si="24">IF($K32=MAX(K$16:K$18,K$20:K$30,K$32:K$67,K$69:K$75,K$77:K$82,K$84:K$94,K$96:K$101,K$103:K$113,K$115:K$124),"max2",$K32)</f>
        <v/>
      </c>
      <c r="M32" s="3" t="str">
        <f t="shared" ref="M32:M67" si="25">IF($L32=MAX(L$16:L$18,L$20:L$30,L$32:L$67,L$69:L$75,L$77:L$82,L$84:L$94,L$96:L$101,L$103:L$113,L$115:L$124),"max3",$L32)</f>
        <v/>
      </c>
      <c r="N32" s="3" t="str">
        <f t="shared" ref="N32:N67" si="26">IF($M32=MAX(M$16:M$18,M$20:M$30,M$32:M$67,M$69:M$75,M$77:M$82,M$84:M$94,M$96:M$101,M$103:M$113,M$115:M$124),"max4",$M32)</f>
        <v/>
      </c>
      <c r="O32" s="3" t="str">
        <f t="shared" ref="O32:O67" si="27">IF($N32=MAX(N$16:N$18,N$20:N$30,N$32:N$67,N$69:N$75,N$77:N$82,N$84:N$94,N$96:N$101,N$103:N$113,N$115:N$124),"max5",$N32)</f>
        <v/>
      </c>
      <c r="P32" s="3" t="str">
        <f t="shared" ref="P32:P67" si="28">IF($O32=MAX(O$16:O$18,O$20:O$30,O$32:O$67,O$69:O$75,O$77:O$82,O$84:O$94,O$96:O$101,O$103:O$113,O$115:O$124),"max6",$O32)</f>
        <v/>
      </c>
      <c r="Q32" s="3" t="str">
        <f t="shared" ref="Q32:Q67" si="29">IF($P32=MAX(P$16:P$18,P$20:P$30,P$32:P$67,P$69:P$75,P$77:P$82,P$84:P$94,P$96:P$101,P$103:P$113,P$115:P$124),"max7",$P32)</f>
        <v/>
      </c>
      <c r="R32" s="3" t="str">
        <f t="shared" ref="R32:R67" si="30">IF($Q32=MAX(Q$16:Q$18,Q$20:Q$30,Q$32:Q$67,Q$69:Q$75,Q$77:Q$82,Q$84:Q$94,Q$96:Q$101,Q$103:Q$113,Q$115:Q$124),"max8",$Q32)</f>
        <v/>
      </c>
      <c r="S32" s="3" t="str">
        <f t="shared" ref="S32:S67" si="31">IF($R32=MAX(R$16:R$18,R$20:R$30,R$32:R$67,R$69:R$75,R$77:R$82,R$84:R$94,R$96:R$101,R$103:R$113,R$115:R$124),"max9",$R32)</f>
        <v/>
      </c>
      <c r="T32" s="3" t="str">
        <f t="shared" ref="T32:T67" si="32">IF($S32=MAX(S$16:S$18,S$20:S$30,S$32:S$67,S$69:S$75,S$77:S$82,S$84:S$94,S$96:S$101,S$103:S$113,S$115:S$124),"max10",$S32)</f>
        <v/>
      </c>
      <c r="U32" s="3" t="str">
        <f t="shared" ref="U32:U67" si="33">IF($T32=MAX(T$16:T$18,T$20:T$30,T$32:T$67,T$69:T$75,T$77:T$82,T$84:T$94,T$96:T$101,T$103:T$113,T$115:T$124),"max11",$T32)</f>
        <v/>
      </c>
      <c r="V32" s="3" t="str">
        <f t="shared" ref="V32:V67" si="34">IF($U32=MAX(U$16:U$18,U$20:U$30,U$32:U$67,U$69:U$75,U$77:U$82,U$84:U$94,U$96:U$101,U$103:U$113,U$115:U$124),"max12",$U32)</f>
        <v/>
      </c>
      <c r="W32" s="3" t="str">
        <f t="shared" ref="W32:W67" si="35">IF($V32=MAX(V$16:V$18,V$20:V$30,V$32:V$67,V$69:V$75,V$77:V$82,V$84:V$94,V$96:V$101,V$103:V$113,V$115:V$124),"max13",$V32)</f>
        <v/>
      </c>
      <c r="X32" s="3" t="str">
        <f t="shared" ref="X32:X67" si="36">IF($W32=MAX(W$16:W$18,W$20:W$30,W$32:W$67,W$69:W$75,W$77:W$82,W$84:W$94,W$96:W$101,W$103:W$113,W$115:W$124),"max14",$W32)</f>
        <v/>
      </c>
      <c r="Y32" s="3" t="str">
        <f t="shared" ref="Y32:Y67" si="37">IF($X32=MAX(X$16:X$18,X$20:X$30,X$32:X$67,X$69:X$75,X$77:X$82,X$84:X$94,X$96:X$101,X$103:X$113,X$115:X$124),"max15",$X32)</f>
        <v/>
      </c>
      <c r="Z32" s="3" t="str">
        <f t="shared" si="3"/>
        <v>Outro</v>
      </c>
    </row>
    <row r="33" spans="2:26" ht="15" customHeight="1" x14ac:dyDescent="0.2">
      <c r="B33" s="77" t="str">
        <f>IF('DETALHE GANHOS E GASTOS'!B32&lt;&gt;"",'DETALHE GANHOS E GASTOS'!B32,"")</f>
        <v>6.3.2.1.1</v>
      </c>
      <c r="C33" s="48" t="str">
        <f>IF('DETALHE GANHOS E GASTOS'!C32&lt;&gt;"",'DETALHE GANHOS E GASTOS'!C32,"")</f>
        <v>Água</v>
      </c>
      <c r="D33" s="87">
        <f>IFERROR(INDEX('DETALHE GANHOS E GASTOS'!$C$14:$H$123,MATCH($C33,'DETALHE GANHOS E GASTOS'!$C$14:$C$123,0),4),"")</f>
        <v>0</v>
      </c>
      <c r="E33" s="87">
        <f>IFERROR(INDEX('DETALHE GANHOS E GASTOS'!$C$14:$H$123,MATCH($C33,'DETALHE GANHOS E GASTOS'!$C$14:$C$123,0),5),"")</f>
        <v>0</v>
      </c>
      <c r="F33" s="87">
        <f>IFERROR(INDEX('DETALHE GANHOS E GASTOS'!$C$14:$H$123,MATCH($C33,'DETALHE GANHOS E GASTOS'!$C$14:$C$123,0),6),"")</f>
        <v>0</v>
      </c>
      <c r="G33" s="308"/>
      <c r="H33" s="61" t="str">
        <f t="shared" si="0"/>
        <v/>
      </c>
      <c r="J33" s="144" t="str">
        <f t="shared" si="22"/>
        <v/>
      </c>
      <c r="K33" s="3" t="str">
        <f t="shared" si="23"/>
        <v/>
      </c>
      <c r="L33" s="3" t="str">
        <f t="shared" si="24"/>
        <v/>
      </c>
      <c r="M33" s="3" t="str">
        <f t="shared" si="25"/>
        <v/>
      </c>
      <c r="N33" s="3" t="str">
        <f t="shared" si="26"/>
        <v/>
      </c>
      <c r="O33" s="3" t="str">
        <f t="shared" si="27"/>
        <v/>
      </c>
      <c r="P33" s="3" t="str">
        <f t="shared" si="28"/>
        <v/>
      </c>
      <c r="Q33" s="3" t="str">
        <f t="shared" si="29"/>
        <v/>
      </c>
      <c r="R33" s="3" t="str">
        <f t="shared" si="30"/>
        <v/>
      </c>
      <c r="S33" s="3" t="str">
        <f t="shared" si="31"/>
        <v/>
      </c>
      <c r="T33" s="3" t="str">
        <f t="shared" si="32"/>
        <v/>
      </c>
      <c r="U33" s="3" t="str">
        <f t="shared" si="33"/>
        <v/>
      </c>
      <c r="V33" s="3" t="str">
        <f t="shared" si="34"/>
        <v/>
      </c>
      <c r="W33" s="3" t="str">
        <f t="shared" si="35"/>
        <v/>
      </c>
      <c r="X33" s="3" t="str">
        <f t="shared" si="36"/>
        <v/>
      </c>
      <c r="Y33" s="3" t="str">
        <f t="shared" si="37"/>
        <v/>
      </c>
      <c r="Z33" s="3" t="str">
        <f t="shared" si="3"/>
        <v>Outro</v>
      </c>
    </row>
    <row r="34" spans="2:26" ht="15" customHeight="1" x14ac:dyDescent="0.2">
      <c r="B34" s="77" t="str">
        <f>IF('DETALHE GANHOS E GASTOS'!B33&lt;&gt;"",'DETALHE GANHOS E GASTOS'!B33,"")</f>
        <v>6.3.2.1.2</v>
      </c>
      <c r="C34" s="48" t="str">
        <f>IF('DETALHE GANHOS E GASTOS'!C33&lt;&gt;"",'DETALHE GANHOS E GASTOS'!C33,"")</f>
        <v>Electricidade</v>
      </c>
      <c r="D34" s="87">
        <f>IFERROR(INDEX('DETALHE GANHOS E GASTOS'!$C$14:$H$123,MATCH($C34,'DETALHE GANHOS E GASTOS'!$C$14:$C$123,0),4),"")</f>
        <v>0</v>
      </c>
      <c r="E34" s="87">
        <f>IFERROR(INDEX('DETALHE GANHOS E GASTOS'!$C$14:$H$123,MATCH($C34,'DETALHE GANHOS E GASTOS'!$C$14:$C$123,0),5),"")</f>
        <v>0</v>
      </c>
      <c r="F34" s="87">
        <f>IFERROR(INDEX('DETALHE GANHOS E GASTOS'!$C$14:$H$123,MATCH($C34,'DETALHE GANHOS E GASTOS'!$C$14:$C$123,0),6),"")</f>
        <v>9046.51</v>
      </c>
      <c r="G34" s="308"/>
      <c r="H34" s="61">
        <f t="shared" si="0"/>
        <v>-1</v>
      </c>
      <c r="J34" s="144" t="str">
        <f t="shared" si="22"/>
        <v/>
      </c>
      <c r="K34" s="3" t="str">
        <f t="shared" si="23"/>
        <v/>
      </c>
      <c r="L34" s="3" t="str">
        <f t="shared" si="24"/>
        <v/>
      </c>
      <c r="M34" s="3" t="str">
        <f t="shared" si="25"/>
        <v/>
      </c>
      <c r="N34" s="3" t="str">
        <f t="shared" si="26"/>
        <v/>
      </c>
      <c r="O34" s="3" t="str">
        <f t="shared" si="27"/>
        <v/>
      </c>
      <c r="P34" s="3" t="str">
        <f t="shared" si="28"/>
        <v/>
      </c>
      <c r="Q34" s="3" t="str">
        <f t="shared" si="29"/>
        <v/>
      </c>
      <c r="R34" s="3" t="str">
        <f t="shared" si="30"/>
        <v/>
      </c>
      <c r="S34" s="3" t="str">
        <f t="shared" si="31"/>
        <v/>
      </c>
      <c r="T34" s="3" t="str">
        <f t="shared" si="32"/>
        <v/>
      </c>
      <c r="U34" s="3" t="str">
        <f t="shared" si="33"/>
        <v/>
      </c>
      <c r="V34" s="3" t="str">
        <f t="shared" si="34"/>
        <v/>
      </c>
      <c r="W34" s="3" t="str">
        <f t="shared" si="35"/>
        <v/>
      </c>
      <c r="X34" s="3" t="str">
        <f t="shared" si="36"/>
        <v/>
      </c>
      <c r="Y34" s="3" t="str">
        <f t="shared" si="37"/>
        <v/>
      </c>
      <c r="Z34" s="3" t="str">
        <f t="shared" si="3"/>
        <v>Outro</v>
      </c>
    </row>
    <row r="35" spans="2:26" ht="15" customHeight="1" x14ac:dyDescent="0.2">
      <c r="B35" s="77" t="str">
        <f>IF('DETALHE GANHOS E GASTOS'!B34&lt;&gt;"",'DETALHE GANHOS E GASTOS'!B34,"")</f>
        <v>6.3.2.1.3</v>
      </c>
      <c r="C35" s="48" t="str">
        <f>IF('DETALHE GANHOS E GASTOS'!C34&lt;&gt;"",'DETALHE GANHOS E GASTOS'!C34,"")</f>
        <v xml:space="preserve">Combustíveis </v>
      </c>
      <c r="D35" s="87">
        <f>IFERROR(INDEX('DETALHE GANHOS E GASTOS'!$C$14:$H$123,MATCH($C35,'DETALHE GANHOS E GASTOS'!$C$14:$C$123,0),4),"")</f>
        <v>0</v>
      </c>
      <c r="E35" s="87">
        <f>IFERROR(INDEX('DETALHE GANHOS E GASTOS'!$C$14:$H$123,MATCH($C35,'DETALHE GANHOS E GASTOS'!$C$14:$C$123,0),5),"")</f>
        <v>0</v>
      </c>
      <c r="F35" s="87">
        <f>IFERROR(INDEX('DETALHE GANHOS E GASTOS'!$C$14:$H$123,MATCH($C35,'DETALHE GANHOS E GASTOS'!$C$14:$C$123,0),6),"")</f>
        <v>119613.19</v>
      </c>
      <c r="G35" s="308"/>
      <c r="H35" s="61">
        <f t="shared" si="0"/>
        <v>-1</v>
      </c>
      <c r="J35" s="144" t="str">
        <f t="shared" si="22"/>
        <v/>
      </c>
      <c r="K35" s="3" t="str">
        <f t="shared" si="23"/>
        <v/>
      </c>
      <c r="L35" s="3" t="str">
        <f t="shared" si="24"/>
        <v/>
      </c>
      <c r="M35" s="3" t="str">
        <f t="shared" si="25"/>
        <v/>
      </c>
      <c r="N35" s="3" t="str">
        <f t="shared" si="26"/>
        <v/>
      </c>
      <c r="O35" s="3" t="str">
        <f t="shared" si="27"/>
        <v/>
      </c>
      <c r="P35" s="3" t="str">
        <f t="shared" si="28"/>
        <v/>
      </c>
      <c r="Q35" s="3" t="str">
        <f t="shared" si="29"/>
        <v/>
      </c>
      <c r="R35" s="3" t="str">
        <f t="shared" si="30"/>
        <v/>
      </c>
      <c r="S35" s="3" t="str">
        <f t="shared" si="31"/>
        <v/>
      </c>
      <c r="T35" s="3" t="str">
        <f t="shared" si="32"/>
        <v/>
      </c>
      <c r="U35" s="3" t="str">
        <f t="shared" si="33"/>
        <v/>
      </c>
      <c r="V35" s="3" t="str">
        <f t="shared" si="34"/>
        <v/>
      </c>
      <c r="W35" s="3" t="str">
        <f t="shared" si="35"/>
        <v/>
      </c>
      <c r="X35" s="3" t="str">
        <f t="shared" si="36"/>
        <v/>
      </c>
      <c r="Y35" s="3" t="str">
        <f t="shared" si="37"/>
        <v/>
      </c>
      <c r="Z35" s="3" t="str">
        <f t="shared" si="3"/>
        <v>Outro</v>
      </c>
    </row>
    <row r="36" spans="2:26" ht="15" customHeight="1" x14ac:dyDescent="0.2">
      <c r="B36" s="77" t="str">
        <f>IF('DETALHE GANHOS E GASTOS'!B35&lt;&gt;"",'DETALHE GANHOS E GASTOS'!B35,"")</f>
        <v>6.3.2.1.4</v>
      </c>
      <c r="C36" s="48" t="str">
        <f>IF('DETALHE GANHOS E GASTOS'!C35&lt;&gt;"",'DETALHE GANHOS E GASTOS'!C35,"")</f>
        <v>Ferramentas e utensílios de desgaste rápido</v>
      </c>
      <c r="D36" s="87">
        <f>IFERROR(INDEX('DETALHE GANHOS E GASTOS'!$C$14:$H$123,MATCH($C36,'DETALHE GANHOS E GASTOS'!$C$14:$C$123,0),4),"")</f>
        <v>0</v>
      </c>
      <c r="E36" s="87">
        <f>IFERROR(INDEX('DETALHE GANHOS E GASTOS'!$C$14:$H$123,MATCH($C36,'DETALHE GANHOS E GASTOS'!$C$14:$C$123,0),5),"")</f>
        <v>0</v>
      </c>
      <c r="F36" s="87">
        <f>IFERROR(INDEX('DETALHE GANHOS E GASTOS'!$C$14:$H$123,MATCH($C36,'DETALHE GANHOS E GASTOS'!$C$14:$C$123,0),6),"")</f>
        <v>27178.880000000001</v>
      </c>
      <c r="G36" s="308"/>
      <c r="H36" s="61">
        <f t="shared" si="0"/>
        <v>-1</v>
      </c>
      <c r="J36" s="144" t="str">
        <f t="shared" si="22"/>
        <v/>
      </c>
      <c r="K36" s="3" t="str">
        <f t="shared" si="23"/>
        <v/>
      </c>
      <c r="L36" s="3" t="str">
        <f t="shared" si="24"/>
        <v/>
      </c>
      <c r="M36" s="3" t="str">
        <f t="shared" si="25"/>
        <v/>
      </c>
      <c r="N36" s="3" t="str">
        <f t="shared" si="26"/>
        <v/>
      </c>
      <c r="O36" s="3" t="str">
        <f t="shared" si="27"/>
        <v/>
      </c>
      <c r="P36" s="3" t="str">
        <f t="shared" si="28"/>
        <v/>
      </c>
      <c r="Q36" s="3" t="str">
        <f t="shared" si="29"/>
        <v/>
      </c>
      <c r="R36" s="3" t="str">
        <f t="shared" si="30"/>
        <v/>
      </c>
      <c r="S36" s="3" t="str">
        <f t="shared" si="31"/>
        <v/>
      </c>
      <c r="T36" s="3" t="str">
        <f t="shared" si="32"/>
        <v/>
      </c>
      <c r="U36" s="3" t="str">
        <f t="shared" si="33"/>
        <v/>
      </c>
      <c r="V36" s="3" t="str">
        <f t="shared" si="34"/>
        <v/>
      </c>
      <c r="W36" s="3" t="str">
        <f t="shared" si="35"/>
        <v/>
      </c>
      <c r="X36" s="3" t="str">
        <f t="shared" si="36"/>
        <v/>
      </c>
      <c r="Y36" s="3" t="str">
        <f t="shared" si="37"/>
        <v/>
      </c>
      <c r="Z36" s="3" t="str">
        <f t="shared" si="3"/>
        <v>Outro</v>
      </c>
    </row>
    <row r="37" spans="2:26" ht="15" customHeight="1" x14ac:dyDescent="0.2">
      <c r="B37" s="77" t="str">
        <f>IF('DETALHE GANHOS E GASTOS'!B36&lt;&gt;"",'DETALHE GANHOS E GASTOS'!B36,"")</f>
        <v>6.3.2.1.5</v>
      </c>
      <c r="C37" s="48" t="str">
        <f>IF('DETALHE GANHOS E GASTOS'!C36&lt;&gt;"",'DETALHE GANHOS E GASTOS'!C36,"")</f>
        <v>Material de Manutenção e Reparação</v>
      </c>
      <c r="D37" s="87">
        <f>IFERROR(INDEX('DETALHE GANHOS E GASTOS'!$C$14:$H$123,MATCH($C37,'DETALHE GANHOS E GASTOS'!$C$14:$C$123,0),4),"")</f>
        <v>0</v>
      </c>
      <c r="E37" s="87">
        <f>IFERROR(INDEX('DETALHE GANHOS E GASTOS'!$C$14:$H$123,MATCH($C37,'DETALHE GANHOS E GASTOS'!$C$14:$C$123,0),5),"")</f>
        <v>0</v>
      </c>
      <c r="F37" s="87">
        <f>IFERROR(INDEX('DETALHE GANHOS E GASTOS'!$C$14:$H$123,MATCH($C37,'DETALHE GANHOS E GASTOS'!$C$14:$C$123,0),6),"")</f>
        <v>830</v>
      </c>
      <c r="G37" s="308"/>
      <c r="H37" s="61">
        <f t="shared" si="0"/>
        <v>-1</v>
      </c>
      <c r="J37" s="144" t="str">
        <f t="shared" si="22"/>
        <v/>
      </c>
      <c r="K37" s="3" t="str">
        <f t="shared" si="23"/>
        <v/>
      </c>
      <c r="L37" s="3" t="str">
        <f t="shared" si="24"/>
        <v/>
      </c>
      <c r="M37" s="3" t="str">
        <f t="shared" si="25"/>
        <v/>
      </c>
      <c r="N37" s="3" t="str">
        <f t="shared" si="26"/>
        <v/>
      </c>
      <c r="O37" s="3" t="str">
        <f t="shared" si="27"/>
        <v/>
      </c>
      <c r="P37" s="3" t="str">
        <f t="shared" si="28"/>
        <v/>
      </c>
      <c r="Q37" s="3" t="str">
        <f t="shared" si="29"/>
        <v/>
      </c>
      <c r="R37" s="3" t="str">
        <f t="shared" si="30"/>
        <v/>
      </c>
      <c r="S37" s="3" t="str">
        <f t="shared" si="31"/>
        <v/>
      </c>
      <c r="T37" s="3" t="str">
        <f t="shared" si="32"/>
        <v/>
      </c>
      <c r="U37" s="3" t="str">
        <f t="shared" si="33"/>
        <v/>
      </c>
      <c r="V37" s="3" t="str">
        <f t="shared" si="34"/>
        <v/>
      </c>
      <c r="W37" s="3" t="str">
        <f t="shared" si="35"/>
        <v/>
      </c>
      <c r="X37" s="3" t="str">
        <f t="shared" si="36"/>
        <v/>
      </c>
      <c r="Y37" s="3" t="str">
        <f t="shared" si="37"/>
        <v/>
      </c>
      <c r="Z37" s="3" t="str">
        <f t="shared" si="3"/>
        <v>Outro</v>
      </c>
    </row>
    <row r="38" spans="2:26" ht="15" customHeight="1" x14ac:dyDescent="0.2">
      <c r="B38" s="77" t="str">
        <f>IF('DETALHE GANHOS E GASTOS'!B37&lt;&gt;"",'DETALHE GANHOS E GASTOS'!B37,"")</f>
        <v>6.3.2.1.6</v>
      </c>
      <c r="C38" s="48" t="str">
        <f>IF('DETALHE GANHOS E GASTOS'!C37&lt;&gt;"",'DETALHE GANHOS E GASTOS'!C37,"")</f>
        <v>Material de Escritório</v>
      </c>
      <c r="D38" s="87">
        <f>IFERROR(INDEX('DETALHE GANHOS E GASTOS'!$C$14:$H$123,MATCH($C38,'DETALHE GANHOS E GASTOS'!$C$14:$C$123,0),4),"")</f>
        <v>0</v>
      </c>
      <c r="E38" s="87">
        <f>IFERROR(INDEX('DETALHE GANHOS E GASTOS'!$C$14:$H$123,MATCH($C38,'DETALHE GANHOS E GASTOS'!$C$14:$C$123,0),5),"")</f>
        <v>0</v>
      </c>
      <c r="F38" s="87">
        <f>IFERROR(INDEX('DETALHE GANHOS E GASTOS'!$C$14:$H$123,MATCH($C38,'DETALHE GANHOS E GASTOS'!$C$14:$C$123,0),6),"")</f>
        <v>15822.36</v>
      </c>
      <c r="G38" s="308"/>
      <c r="H38" s="61">
        <f t="shared" si="0"/>
        <v>-1</v>
      </c>
      <c r="J38" s="144" t="str">
        <f t="shared" si="22"/>
        <v/>
      </c>
      <c r="K38" s="3" t="str">
        <f t="shared" si="23"/>
        <v/>
      </c>
      <c r="L38" s="3" t="str">
        <f t="shared" si="24"/>
        <v/>
      </c>
      <c r="M38" s="3" t="str">
        <f t="shared" si="25"/>
        <v/>
      </c>
      <c r="N38" s="3" t="str">
        <f t="shared" si="26"/>
        <v/>
      </c>
      <c r="O38" s="3" t="str">
        <f t="shared" si="27"/>
        <v/>
      </c>
      <c r="P38" s="3" t="str">
        <f t="shared" si="28"/>
        <v/>
      </c>
      <c r="Q38" s="3" t="str">
        <f t="shared" si="29"/>
        <v/>
      </c>
      <c r="R38" s="3" t="str">
        <f t="shared" si="30"/>
        <v/>
      </c>
      <c r="S38" s="3" t="str">
        <f t="shared" si="31"/>
        <v/>
      </c>
      <c r="T38" s="3" t="str">
        <f t="shared" si="32"/>
        <v/>
      </c>
      <c r="U38" s="3" t="str">
        <f t="shared" si="33"/>
        <v/>
      </c>
      <c r="V38" s="3" t="str">
        <f t="shared" si="34"/>
        <v/>
      </c>
      <c r="W38" s="3" t="str">
        <f t="shared" si="35"/>
        <v/>
      </c>
      <c r="X38" s="3" t="str">
        <f t="shared" si="36"/>
        <v/>
      </c>
      <c r="Y38" s="3" t="str">
        <f t="shared" si="37"/>
        <v/>
      </c>
      <c r="Z38" s="3" t="str">
        <f t="shared" si="3"/>
        <v>Outro</v>
      </c>
    </row>
    <row r="39" spans="2:26" ht="15" customHeight="1" x14ac:dyDescent="0.2">
      <c r="B39" s="77" t="str">
        <f>IF('DETALHE GANHOS E GASTOS'!B38&lt;&gt;"",'DETALHE GANHOS E GASTOS'!B38,"")</f>
        <v>6.3.2.1.7</v>
      </c>
      <c r="C39" s="48" t="str">
        <f>IF('DETALHE GANHOS E GASTOS'!C38&lt;&gt;"",'DETALHE GANHOS E GASTOS'!C38,"")</f>
        <v>Livros e documentação técnica</v>
      </c>
      <c r="D39" s="87">
        <f>IFERROR(INDEX('DETALHE GANHOS E GASTOS'!$C$14:$H$123,MATCH($C39,'DETALHE GANHOS E GASTOS'!$C$14:$C$123,0),4),"")</f>
        <v>0</v>
      </c>
      <c r="E39" s="87">
        <f>IFERROR(INDEX('DETALHE GANHOS E GASTOS'!$C$14:$H$123,MATCH($C39,'DETALHE GANHOS E GASTOS'!$C$14:$C$123,0),5),"")</f>
        <v>0</v>
      </c>
      <c r="F39" s="87">
        <f>IFERROR(INDEX('DETALHE GANHOS E GASTOS'!$C$14:$H$123,MATCH($C39,'DETALHE GANHOS E GASTOS'!$C$14:$C$123,0),6),"")</f>
        <v>25000</v>
      </c>
      <c r="G39" s="308"/>
      <c r="H39" s="61">
        <f t="shared" si="0"/>
        <v>-1</v>
      </c>
      <c r="J39" s="144" t="str">
        <f t="shared" si="22"/>
        <v/>
      </c>
      <c r="K39" s="3" t="str">
        <f t="shared" si="23"/>
        <v/>
      </c>
      <c r="L39" s="3" t="str">
        <f t="shared" si="24"/>
        <v/>
      </c>
      <c r="M39" s="3" t="str">
        <f t="shared" si="25"/>
        <v/>
      </c>
      <c r="N39" s="3" t="str">
        <f t="shared" si="26"/>
        <v/>
      </c>
      <c r="O39" s="3" t="str">
        <f t="shared" si="27"/>
        <v/>
      </c>
      <c r="P39" s="3" t="str">
        <f t="shared" si="28"/>
        <v/>
      </c>
      <c r="Q39" s="3" t="str">
        <f t="shared" si="29"/>
        <v/>
      </c>
      <c r="R39" s="3" t="str">
        <f t="shared" si="30"/>
        <v/>
      </c>
      <c r="S39" s="3" t="str">
        <f t="shared" si="31"/>
        <v/>
      </c>
      <c r="T39" s="3" t="str">
        <f t="shared" si="32"/>
        <v/>
      </c>
      <c r="U39" s="3" t="str">
        <f t="shared" si="33"/>
        <v/>
      </c>
      <c r="V39" s="3" t="str">
        <f t="shared" si="34"/>
        <v/>
      </c>
      <c r="W39" s="3" t="str">
        <f t="shared" si="35"/>
        <v/>
      </c>
      <c r="X39" s="3" t="str">
        <f t="shared" si="36"/>
        <v/>
      </c>
      <c r="Y39" s="3" t="str">
        <f t="shared" si="37"/>
        <v/>
      </c>
      <c r="Z39" s="3" t="str">
        <f t="shared" si="3"/>
        <v>Outro</v>
      </c>
    </row>
    <row r="40" spans="2:26" ht="15" customHeight="1" x14ac:dyDescent="0.2">
      <c r="B40" s="77" t="str">
        <f>IF('DETALHE GANHOS E GASTOS'!B39&lt;&gt;"",'DETALHE GANHOS E GASTOS'!B39,"")</f>
        <v>6.3.2.1.8</v>
      </c>
      <c r="C40" s="48" t="str">
        <f>IF('DETALHE GANHOS E GASTOS'!C39&lt;&gt;"",'DETALHE GANHOS E GASTOS'!C39,"")</f>
        <v>Artigos para oferta</v>
      </c>
      <c r="D40" s="87">
        <f>IFERROR(INDEX('DETALHE GANHOS E GASTOS'!$C$14:$H$123,MATCH($C40,'DETALHE GANHOS E GASTOS'!$C$14:$C$123,0),4),"")</f>
        <v>0</v>
      </c>
      <c r="E40" s="87">
        <f>IFERROR(INDEX('DETALHE GANHOS E GASTOS'!$C$14:$H$123,MATCH($C40,'DETALHE GANHOS E GASTOS'!$C$14:$C$123,0),5),"")</f>
        <v>0</v>
      </c>
      <c r="F40" s="87">
        <f>IFERROR(INDEX('DETALHE GANHOS E GASTOS'!$C$14:$H$123,MATCH($C40,'DETALHE GANHOS E GASTOS'!$C$14:$C$123,0),6),"")</f>
        <v>0</v>
      </c>
      <c r="G40" s="308"/>
      <c r="H40" s="61" t="str">
        <f t="shared" si="0"/>
        <v/>
      </c>
      <c r="J40" s="144" t="str">
        <f t="shared" ref="J40:J124" si="38">IF(G40="","",IFERROR(ABS(H40),""))</f>
        <v/>
      </c>
      <c r="K40" s="3" t="str">
        <f t="shared" si="23"/>
        <v/>
      </c>
      <c r="L40" s="3" t="str">
        <f t="shared" si="24"/>
        <v/>
      </c>
      <c r="M40" s="3" t="str">
        <f t="shared" si="25"/>
        <v/>
      </c>
      <c r="N40" s="3" t="str">
        <f t="shared" si="26"/>
        <v/>
      </c>
      <c r="O40" s="3" t="str">
        <f t="shared" si="27"/>
        <v/>
      </c>
      <c r="P40" s="3" t="str">
        <f t="shared" si="28"/>
        <v/>
      </c>
      <c r="Q40" s="3" t="str">
        <f t="shared" si="29"/>
        <v/>
      </c>
      <c r="R40" s="3" t="str">
        <f t="shared" si="30"/>
        <v/>
      </c>
      <c r="S40" s="3" t="str">
        <f t="shared" si="31"/>
        <v/>
      </c>
      <c r="T40" s="3" t="str">
        <f t="shared" si="32"/>
        <v/>
      </c>
      <c r="U40" s="3" t="str">
        <f t="shared" si="33"/>
        <v/>
      </c>
      <c r="V40" s="3" t="str">
        <f t="shared" si="34"/>
        <v/>
      </c>
      <c r="W40" s="3" t="str">
        <f t="shared" si="35"/>
        <v/>
      </c>
      <c r="X40" s="3" t="str">
        <f t="shared" si="36"/>
        <v/>
      </c>
      <c r="Y40" s="3" t="str">
        <f t="shared" si="37"/>
        <v/>
      </c>
      <c r="Z40" s="3" t="str">
        <f t="shared" si="3"/>
        <v>Outro</v>
      </c>
    </row>
    <row r="41" spans="2:26" ht="15" customHeight="1" x14ac:dyDescent="0.2">
      <c r="B41" s="77" t="str">
        <f>IF('DETALHE GANHOS E GASTOS'!B40&lt;&gt;"",'DETALHE GANHOS E GASTOS'!B40,"")</f>
        <v>6.3.2.1.9</v>
      </c>
      <c r="C41" s="48" t="str">
        <f>IF('DETALHE GANHOS E GASTOS'!C40&lt;&gt;"",'DETALHE GANHOS E GASTOS'!C40,"")</f>
        <v/>
      </c>
      <c r="D41" s="87" t="str">
        <f>IFERROR(INDEX('DETALHE GANHOS E GASTOS'!$C$14:$H$123,MATCH($C41,'DETALHE GANHOS E GASTOS'!$C$14:$C$123,0),4),"")</f>
        <v/>
      </c>
      <c r="E41" s="87" t="str">
        <f>IFERROR(INDEX('DETALHE GANHOS E GASTOS'!$C$14:$H$123,MATCH($C41,'DETALHE GANHOS E GASTOS'!$C$14:$C$123,0),5),"")</f>
        <v/>
      </c>
      <c r="F41" s="87" t="str">
        <f>IFERROR(INDEX('DETALHE GANHOS E GASTOS'!$C$14:$H$123,MATCH($C41,'DETALHE GANHOS E GASTOS'!$C$14:$C$123,0),6),"")</f>
        <v/>
      </c>
      <c r="G41" s="308"/>
      <c r="H41" s="61" t="str">
        <f t="shared" si="0"/>
        <v/>
      </c>
      <c r="J41" s="144" t="str">
        <f t="shared" si="38"/>
        <v/>
      </c>
      <c r="K41" s="3" t="str">
        <f t="shared" si="23"/>
        <v/>
      </c>
      <c r="L41" s="3" t="str">
        <f t="shared" si="24"/>
        <v/>
      </c>
      <c r="M41" s="3" t="str">
        <f t="shared" si="25"/>
        <v/>
      </c>
      <c r="N41" s="3" t="str">
        <f t="shared" si="26"/>
        <v/>
      </c>
      <c r="O41" s="3" t="str">
        <f t="shared" si="27"/>
        <v/>
      </c>
      <c r="P41" s="3" t="str">
        <f t="shared" si="28"/>
        <v/>
      </c>
      <c r="Q41" s="3" t="str">
        <f t="shared" si="29"/>
        <v/>
      </c>
      <c r="R41" s="3" t="str">
        <f t="shared" si="30"/>
        <v/>
      </c>
      <c r="S41" s="3" t="str">
        <f t="shared" si="31"/>
        <v/>
      </c>
      <c r="T41" s="3" t="str">
        <f t="shared" si="32"/>
        <v/>
      </c>
      <c r="U41" s="3" t="str">
        <f t="shared" si="33"/>
        <v/>
      </c>
      <c r="V41" s="3" t="str">
        <f t="shared" si="34"/>
        <v/>
      </c>
      <c r="W41" s="3" t="str">
        <f t="shared" si="35"/>
        <v/>
      </c>
      <c r="X41" s="3" t="str">
        <f t="shared" si="36"/>
        <v/>
      </c>
      <c r="Y41" s="3" t="str">
        <f t="shared" si="37"/>
        <v/>
      </c>
      <c r="Z41" s="3" t="str">
        <f t="shared" si="3"/>
        <v>Outro</v>
      </c>
    </row>
    <row r="42" spans="2:26" ht="15" customHeight="1" x14ac:dyDescent="0.2">
      <c r="B42" s="77" t="str">
        <f>IF('DETALHE GANHOS E GASTOS'!B41&lt;&gt;"",'DETALHE GANHOS E GASTOS'!B41,"")</f>
        <v>6.3.2.2.1</v>
      </c>
      <c r="C42" s="48" t="str">
        <f>IF('DETALHE GANHOS E GASTOS'!C41&lt;&gt;"",'DETALHE GANHOS E GASTOS'!C41,"")</f>
        <v>Manutenção e reparação</v>
      </c>
      <c r="D42" s="87">
        <f>IFERROR(INDEX('DETALHE GANHOS E GASTOS'!$C$14:$H$123,MATCH($C42,'DETALHE GANHOS E GASTOS'!$C$14:$C$123,0),4),"")</f>
        <v>0</v>
      </c>
      <c r="E42" s="87">
        <f>IFERROR(INDEX('DETALHE GANHOS E GASTOS'!$C$14:$H$123,MATCH($C42,'DETALHE GANHOS E GASTOS'!$C$14:$C$123,0),5),"")</f>
        <v>0</v>
      </c>
      <c r="F42" s="87">
        <f>IFERROR(INDEX('DETALHE GANHOS E GASTOS'!$C$14:$H$123,MATCH($C42,'DETALHE GANHOS E GASTOS'!$C$14:$C$123,0),6),"")</f>
        <v>131900</v>
      </c>
      <c r="G42" s="308"/>
      <c r="H42" s="61">
        <f t="shared" si="0"/>
        <v>-1</v>
      </c>
      <c r="J42" s="144" t="str">
        <f t="shared" si="38"/>
        <v/>
      </c>
      <c r="K42" s="3" t="str">
        <f t="shared" si="23"/>
        <v/>
      </c>
      <c r="L42" s="3" t="str">
        <f t="shared" si="24"/>
        <v/>
      </c>
      <c r="M42" s="3" t="str">
        <f t="shared" si="25"/>
        <v/>
      </c>
      <c r="N42" s="3" t="str">
        <f t="shared" si="26"/>
        <v/>
      </c>
      <c r="O42" s="3" t="str">
        <f t="shared" si="27"/>
        <v/>
      </c>
      <c r="P42" s="3" t="str">
        <f t="shared" si="28"/>
        <v/>
      </c>
      <c r="Q42" s="3" t="str">
        <f t="shared" si="29"/>
        <v/>
      </c>
      <c r="R42" s="3" t="str">
        <f t="shared" si="30"/>
        <v/>
      </c>
      <c r="S42" s="3" t="str">
        <f t="shared" si="31"/>
        <v/>
      </c>
      <c r="T42" s="3" t="str">
        <f t="shared" si="32"/>
        <v/>
      </c>
      <c r="U42" s="3" t="str">
        <f t="shared" si="33"/>
        <v/>
      </c>
      <c r="V42" s="3" t="str">
        <f t="shared" si="34"/>
        <v/>
      </c>
      <c r="W42" s="3" t="str">
        <f t="shared" si="35"/>
        <v/>
      </c>
      <c r="X42" s="3" t="str">
        <f t="shared" si="36"/>
        <v/>
      </c>
      <c r="Y42" s="3" t="str">
        <f t="shared" si="37"/>
        <v/>
      </c>
      <c r="Z42" s="3" t="str">
        <f t="shared" si="3"/>
        <v>Outro</v>
      </c>
    </row>
    <row r="43" spans="2:26" ht="15" customHeight="1" x14ac:dyDescent="0.2">
      <c r="B43" s="77" t="str">
        <f>IF('DETALHE GANHOS E GASTOS'!B42&lt;&gt;"",'DETALHE GANHOS E GASTOS'!B42,"")</f>
        <v>6.3.2.2.2</v>
      </c>
      <c r="C43" s="48" t="str">
        <f>IF('DETALHE GANHOS E GASTOS'!C42&lt;&gt;"",'DETALHE GANHOS E GASTOS'!C42,"")</f>
        <v>Transportes de carga</v>
      </c>
      <c r="D43" s="87">
        <f>IFERROR(INDEX('DETALHE GANHOS E GASTOS'!$C$14:$H$123,MATCH($C43,'DETALHE GANHOS E GASTOS'!$C$14:$C$123,0),4),"")</f>
        <v>0</v>
      </c>
      <c r="E43" s="87">
        <f>IFERROR(INDEX('DETALHE GANHOS E GASTOS'!$C$14:$H$123,MATCH($C43,'DETALHE GANHOS E GASTOS'!$C$14:$C$123,0),5),"")</f>
        <v>0</v>
      </c>
      <c r="F43" s="87">
        <f>IFERROR(INDEX('DETALHE GANHOS E GASTOS'!$C$14:$H$123,MATCH($C43,'DETALHE GANHOS E GASTOS'!$C$14:$C$123,0),6),"")</f>
        <v>0</v>
      </c>
      <c r="G43" s="308"/>
      <c r="H43" s="61" t="str">
        <f t="shared" si="0"/>
        <v/>
      </c>
      <c r="J43" s="144" t="str">
        <f t="shared" si="38"/>
        <v/>
      </c>
      <c r="K43" s="3" t="str">
        <f t="shared" si="23"/>
        <v/>
      </c>
      <c r="L43" s="3" t="str">
        <f t="shared" si="24"/>
        <v/>
      </c>
      <c r="M43" s="3" t="str">
        <f t="shared" si="25"/>
        <v/>
      </c>
      <c r="N43" s="3" t="str">
        <f t="shared" si="26"/>
        <v/>
      </c>
      <c r="O43" s="3" t="str">
        <f t="shared" si="27"/>
        <v/>
      </c>
      <c r="P43" s="3" t="str">
        <f t="shared" si="28"/>
        <v/>
      </c>
      <c r="Q43" s="3" t="str">
        <f t="shared" si="29"/>
        <v/>
      </c>
      <c r="R43" s="3" t="str">
        <f t="shared" si="30"/>
        <v/>
      </c>
      <c r="S43" s="3" t="str">
        <f t="shared" si="31"/>
        <v/>
      </c>
      <c r="T43" s="3" t="str">
        <f t="shared" si="32"/>
        <v/>
      </c>
      <c r="U43" s="3" t="str">
        <f t="shared" si="33"/>
        <v/>
      </c>
      <c r="V43" s="3" t="str">
        <f t="shared" si="34"/>
        <v/>
      </c>
      <c r="W43" s="3" t="str">
        <f t="shared" si="35"/>
        <v/>
      </c>
      <c r="X43" s="3" t="str">
        <f t="shared" si="36"/>
        <v/>
      </c>
      <c r="Y43" s="3" t="str">
        <f t="shared" si="37"/>
        <v/>
      </c>
      <c r="Z43" s="3" t="str">
        <f t="shared" si="3"/>
        <v>Outro</v>
      </c>
    </row>
    <row r="44" spans="2:26" ht="15" customHeight="1" x14ac:dyDescent="0.2">
      <c r="B44" s="77" t="str">
        <f>IF('DETALHE GANHOS E GASTOS'!B43&lt;&gt;"",'DETALHE GANHOS E GASTOS'!B43,"")</f>
        <v>6.3.2.2.3</v>
      </c>
      <c r="C44" s="48" t="str">
        <f>IF('DETALHE GANHOS E GASTOS'!C43&lt;&gt;"",'DETALHE GANHOS E GASTOS'!C43,"")</f>
        <v>Transportes de pessoal</v>
      </c>
      <c r="D44" s="87">
        <f>IFERROR(INDEX('DETALHE GANHOS E GASTOS'!$C$14:$H$123,MATCH($C44,'DETALHE GANHOS E GASTOS'!$C$14:$C$123,0),4),"")</f>
        <v>0</v>
      </c>
      <c r="E44" s="87">
        <f>IFERROR(INDEX('DETALHE GANHOS E GASTOS'!$C$14:$H$123,MATCH($C44,'DETALHE GANHOS E GASTOS'!$C$14:$C$123,0),5),"")</f>
        <v>0</v>
      </c>
      <c r="F44" s="87">
        <f>IFERROR(INDEX('DETALHE GANHOS E GASTOS'!$C$14:$H$123,MATCH($C44,'DETALHE GANHOS E GASTOS'!$C$14:$C$123,0),6),"")</f>
        <v>0</v>
      </c>
      <c r="G44" s="308"/>
      <c r="H44" s="61" t="str">
        <f t="shared" si="0"/>
        <v/>
      </c>
      <c r="J44" s="144" t="str">
        <f t="shared" si="38"/>
        <v/>
      </c>
      <c r="K44" s="3" t="str">
        <f t="shared" si="23"/>
        <v/>
      </c>
      <c r="L44" s="3" t="str">
        <f t="shared" si="24"/>
        <v/>
      </c>
      <c r="M44" s="3" t="str">
        <f t="shared" si="25"/>
        <v/>
      </c>
      <c r="N44" s="3" t="str">
        <f t="shared" si="26"/>
        <v/>
      </c>
      <c r="O44" s="3" t="str">
        <f t="shared" si="27"/>
        <v/>
      </c>
      <c r="P44" s="3" t="str">
        <f t="shared" si="28"/>
        <v/>
      </c>
      <c r="Q44" s="3" t="str">
        <f t="shared" si="29"/>
        <v/>
      </c>
      <c r="R44" s="3" t="str">
        <f t="shared" si="30"/>
        <v/>
      </c>
      <c r="S44" s="3" t="str">
        <f t="shared" si="31"/>
        <v/>
      </c>
      <c r="T44" s="3" t="str">
        <f t="shared" si="32"/>
        <v/>
      </c>
      <c r="U44" s="3" t="str">
        <f t="shared" si="33"/>
        <v/>
      </c>
      <c r="V44" s="3" t="str">
        <f t="shared" si="34"/>
        <v/>
      </c>
      <c r="W44" s="3" t="str">
        <f t="shared" si="35"/>
        <v/>
      </c>
      <c r="X44" s="3" t="str">
        <f t="shared" si="36"/>
        <v/>
      </c>
      <c r="Y44" s="3" t="str">
        <f t="shared" si="37"/>
        <v/>
      </c>
      <c r="Z44" s="3" t="str">
        <f t="shared" si="3"/>
        <v>Outro</v>
      </c>
    </row>
    <row r="45" spans="2:26" ht="15" customHeight="1" x14ac:dyDescent="0.2">
      <c r="B45" s="77" t="str">
        <f>IF('DETALHE GANHOS E GASTOS'!B44&lt;&gt;"",'DETALHE GANHOS E GASTOS'!B44,"")</f>
        <v>6.3.2.2.4</v>
      </c>
      <c r="C45" s="48" t="str">
        <f>IF('DETALHE GANHOS E GASTOS'!C44&lt;&gt;"",'DETALHE GANHOS E GASTOS'!C44,"")</f>
        <v>Comunicações</v>
      </c>
      <c r="D45" s="87">
        <f>IFERROR(INDEX('DETALHE GANHOS E GASTOS'!$C$14:$H$123,MATCH($C45,'DETALHE GANHOS E GASTOS'!$C$14:$C$123,0),4),"")</f>
        <v>0</v>
      </c>
      <c r="E45" s="87">
        <f>IFERROR(INDEX('DETALHE GANHOS E GASTOS'!$C$14:$H$123,MATCH($C45,'DETALHE GANHOS E GASTOS'!$C$14:$C$123,0),5),"")</f>
        <v>0</v>
      </c>
      <c r="F45" s="87">
        <f>IFERROR(INDEX('DETALHE GANHOS E GASTOS'!$C$14:$H$123,MATCH($C45,'DETALHE GANHOS E GASTOS'!$C$14:$C$123,0),6),"")</f>
        <v>75463.05</v>
      </c>
      <c r="G45" s="308"/>
      <c r="H45" s="61">
        <f t="shared" si="0"/>
        <v>-1</v>
      </c>
      <c r="J45" s="144" t="str">
        <f t="shared" si="38"/>
        <v/>
      </c>
      <c r="K45" s="3" t="str">
        <f t="shared" si="23"/>
        <v/>
      </c>
      <c r="L45" s="3" t="str">
        <f t="shared" si="24"/>
        <v/>
      </c>
      <c r="M45" s="3" t="str">
        <f t="shared" si="25"/>
        <v/>
      </c>
      <c r="N45" s="3" t="str">
        <f t="shared" si="26"/>
        <v/>
      </c>
      <c r="O45" s="3" t="str">
        <f t="shared" si="27"/>
        <v/>
      </c>
      <c r="P45" s="3" t="str">
        <f t="shared" si="28"/>
        <v/>
      </c>
      <c r="Q45" s="3" t="str">
        <f t="shared" si="29"/>
        <v/>
      </c>
      <c r="R45" s="3" t="str">
        <f t="shared" si="30"/>
        <v/>
      </c>
      <c r="S45" s="3" t="str">
        <f t="shared" si="31"/>
        <v/>
      </c>
      <c r="T45" s="3" t="str">
        <f t="shared" si="32"/>
        <v/>
      </c>
      <c r="U45" s="3" t="str">
        <f t="shared" si="33"/>
        <v/>
      </c>
      <c r="V45" s="3" t="str">
        <f t="shared" si="34"/>
        <v/>
      </c>
      <c r="W45" s="3" t="str">
        <f t="shared" si="35"/>
        <v/>
      </c>
      <c r="X45" s="3" t="str">
        <f t="shared" si="36"/>
        <v/>
      </c>
      <c r="Y45" s="3" t="str">
        <f t="shared" si="37"/>
        <v/>
      </c>
      <c r="Z45" s="3" t="str">
        <f t="shared" si="3"/>
        <v>Outro</v>
      </c>
    </row>
    <row r="46" spans="2:26" ht="15" customHeight="1" x14ac:dyDescent="0.2">
      <c r="B46" s="77" t="str">
        <f>IF('DETALHE GANHOS E GASTOS'!B45&lt;&gt;"",'DETALHE GANHOS E GASTOS'!B45,"")</f>
        <v>6.3.2.2.5</v>
      </c>
      <c r="C46" s="48" t="str">
        <f>IF('DETALHE GANHOS E GASTOS'!C45&lt;&gt;"",'DETALHE GANHOS E GASTOS'!C45,"")</f>
        <v>Honorários</v>
      </c>
      <c r="D46" s="87">
        <f>IFERROR(INDEX('DETALHE GANHOS E GASTOS'!$C$14:$H$123,MATCH($C46,'DETALHE GANHOS E GASTOS'!$C$14:$C$123,0),4),"")</f>
        <v>0</v>
      </c>
      <c r="E46" s="87">
        <f>IFERROR(INDEX('DETALHE GANHOS E GASTOS'!$C$14:$H$123,MATCH($C46,'DETALHE GANHOS E GASTOS'!$C$14:$C$123,0),5),"")</f>
        <v>0</v>
      </c>
      <c r="F46" s="87">
        <f>IFERROR(INDEX('DETALHE GANHOS E GASTOS'!$C$14:$H$123,MATCH($C46,'DETALHE GANHOS E GASTOS'!$C$14:$C$123,0),6),"")</f>
        <v>0</v>
      </c>
      <c r="G46" s="308"/>
      <c r="H46" s="61" t="str">
        <f t="shared" si="0"/>
        <v/>
      </c>
      <c r="J46" s="144" t="str">
        <f t="shared" si="38"/>
        <v/>
      </c>
      <c r="K46" s="3" t="str">
        <f t="shared" si="23"/>
        <v/>
      </c>
      <c r="L46" s="3" t="str">
        <f t="shared" si="24"/>
        <v/>
      </c>
      <c r="M46" s="3" t="str">
        <f t="shared" si="25"/>
        <v/>
      </c>
      <c r="N46" s="3" t="str">
        <f t="shared" si="26"/>
        <v/>
      </c>
      <c r="O46" s="3" t="str">
        <f t="shared" si="27"/>
        <v/>
      </c>
      <c r="P46" s="3" t="str">
        <f t="shared" si="28"/>
        <v/>
      </c>
      <c r="Q46" s="3" t="str">
        <f t="shared" si="29"/>
        <v/>
      </c>
      <c r="R46" s="3" t="str">
        <f t="shared" si="30"/>
        <v/>
      </c>
      <c r="S46" s="3" t="str">
        <f t="shared" si="31"/>
        <v/>
      </c>
      <c r="T46" s="3" t="str">
        <f t="shared" si="32"/>
        <v/>
      </c>
      <c r="U46" s="3" t="str">
        <f t="shared" si="33"/>
        <v/>
      </c>
      <c r="V46" s="3" t="str">
        <f t="shared" si="34"/>
        <v/>
      </c>
      <c r="W46" s="3" t="str">
        <f t="shared" si="35"/>
        <v/>
      </c>
      <c r="X46" s="3" t="str">
        <f t="shared" si="36"/>
        <v/>
      </c>
      <c r="Y46" s="3" t="str">
        <f t="shared" si="37"/>
        <v/>
      </c>
      <c r="Z46" s="3" t="str">
        <f t="shared" si="3"/>
        <v>Outro</v>
      </c>
    </row>
    <row r="47" spans="2:26" ht="15" customHeight="1" x14ac:dyDescent="0.2">
      <c r="B47" s="77" t="str">
        <f>IF('DETALHE GANHOS E GASTOS'!B46&lt;&gt;"",'DETALHE GANHOS E GASTOS'!B46,"")</f>
        <v>6.3.2.2.6</v>
      </c>
      <c r="C47" s="48" t="str">
        <f>IF('DETALHE GANHOS E GASTOS'!C46&lt;&gt;"",'DETALHE GANHOS E GASTOS'!C46,"")</f>
        <v>Comissões a intermediários</v>
      </c>
      <c r="D47" s="87">
        <f>IFERROR(INDEX('DETALHE GANHOS E GASTOS'!$C$14:$H$123,MATCH($C47,'DETALHE GANHOS E GASTOS'!$C$14:$C$123,0),4),"")</f>
        <v>0</v>
      </c>
      <c r="E47" s="87">
        <f>IFERROR(INDEX('DETALHE GANHOS E GASTOS'!$C$14:$H$123,MATCH($C47,'DETALHE GANHOS E GASTOS'!$C$14:$C$123,0),5),"")</f>
        <v>0</v>
      </c>
      <c r="F47" s="87">
        <f>IFERROR(INDEX('DETALHE GANHOS E GASTOS'!$C$14:$H$123,MATCH($C47,'DETALHE GANHOS E GASTOS'!$C$14:$C$123,0),6),"")</f>
        <v>0</v>
      </c>
      <c r="G47" s="308"/>
      <c r="H47" s="61" t="str">
        <f t="shared" si="0"/>
        <v/>
      </c>
      <c r="J47" s="144" t="str">
        <f t="shared" si="38"/>
        <v/>
      </c>
      <c r="K47" s="3" t="str">
        <f t="shared" si="23"/>
        <v/>
      </c>
      <c r="L47" s="3" t="str">
        <f t="shared" si="24"/>
        <v/>
      </c>
      <c r="M47" s="3" t="str">
        <f t="shared" si="25"/>
        <v/>
      </c>
      <c r="N47" s="3" t="str">
        <f t="shared" si="26"/>
        <v/>
      </c>
      <c r="O47" s="3" t="str">
        <f t="shared" si="27"/>
        <v/>
      </c>
      <c r="P47" s="3" t="str">
        <f t="shared" si="28"/>
        <v/>
      </c>
      <c r="Q47" s="3" t="str">
        <f t="shared" si="29"/>
        <v/>
      </c>
      <c r="R47" s="3" t="str">
        <f t="shared" si="30"/>
        <v/>
      </c>
      <c r="S47" s="3" t="str">
        <f t="shared" si="31"/>
        <v/>
      </c>
      <c r="T47" s="3" t="str">
        <f t="shared" si="32"/>
        <v/>
      </c>
      <c r="U47" s="3" t="str">
        <f t="shared" si="33"/>
        <v/>
      </c>
      <c r="V47" s="3" t="str">
        <f t="shared" si="34"/>
        <v/>
      </c>
      <c r="W47" s="3" t="str">
        <f t="shared" si="35"/>
        <v/>
      </c>
      <c r="X47" s="3" t="str">
        <f t="shared" si="36"/>
        <v/>
      </c>
      <c r="Y47" s="3" t="str">
        <f t="shared" si="37"/>
        <v/>
      </c>
      <c r="Z47" s="3" t="str">
        <f t="shared" si="3"/>
        <v>Outro</v>
      </c>
    </row>
    <row r="48" spans="2:26" ht="15" customHeight="1" x14ac:dyDescent="0.2">
      <c r="B48" s="77" t="str">
        <f>IF('DETALHE GANHOS E GASTOS'!B47&lt;&gt;"",'DETALHE GANHOS E GASTOS'!B47,"")</f>
        <v>6.3.2.2.7</v>
      </c>
      <c r="C48" s="48" t="str">
        <f>IF('DETALHE GANHOS E GASTOS'!C47&lt;&gt;"",'DETALHE GANHOS E GASTOS'!C47,"")</f>
        <v>Publicidade e propaganda</v>
      </c>
      <c r="D48" s="87">
        <f>IFERROR(INDEX('DETALHE GANHOS E GASTOS'!$C$14:$H$123,MATCH($C48,'DETALHE GANHOS E GASTOS'!$C$14:$C$123,0),4),"")</f>
        <v>0</v>
      </c>
      <c r="E48" s="87">
        <f>IFERROR(INDEX('DETALHE GANHOS E GASTOS'!$C$14:$H$123,MATCH($C48,'DETALHE GANHOS E GASTOS'!$C$14:$C$123,0),5),"")</f>
        <v>0</v>
      </c>
      <c r="F48" s="87">
        <f>IFERROR(INDEX('DETALHE GANHOS E GASTOS'!$C$14:$H$123,MATCH($C48,'DETALHE GANHOS E GASTOS'!$C$14:$C$123,0),6),"")</f>
        <v>10140</v>
      </c>
      <c r="G48" s="308"/>
      <c r="H48" s="61">
        <f t="shared" si="0"/>
        <v>-1</v>
      </c>
      <c r="J48" s="144" t="str">
        <f t="shared" si="38"/>
        <v/>
      </c>
      <c r="K48" s="3" t="str">
        <f t="shared" si="23"/>
        <v/>
      </c>
      <c r="L48" s="3" t="str">
        <f t="shared" si="24"/>
        <v/>
      </c>
      <c r="M48" s="3" t="str">
        <f t="shared" si="25"/>
        <v/>
      </c>
      <c r="N48" s="3" t="str">
        <f t="shared" si="26"/>
        <v/>
      </c>
      <c r="O48" s="3" t="str">
        <f t="shared" si="27"/>
        <v/>
      </c>
      <c r="P48" s="3" t="str">
        <f t="shared" si="28"/>
        <v/>
      </c>
      <c r="Q48" s="3" t="str">
        <f t="shared" si="29"/>
        <v/>
      </c>
      <c r="R48" s="3" t="str">
        <f t="shared" si="30"/>
        <v/>
      </c>
      <c r="S48" s="3" t="str">
        <f t="shared" si="31"/>
        <v/>
      </c>
      <c r="T48" s="3" t="str">
        <f t="shared" si="32"/>
        <v/>
      </c>
      <c r="U48" s="3" t="str">
        <f t="shared" si="33"/>
        <v/>
      </c>
      <c r="V48" s="3" t="str">
        <f t="shared" si="34"/>
        <v/>
      </c>
      <c r="W48" s="3" t="str">
        <f t="shared" si="35"/>
        <v/>
      </c>
      <c r="X48" s="3" t="str">
        <f t="shared" si="36"/>
        <v/>
      </c>
      <c r="Y48" s="3" t="str">
        <f t="shared" si="37"/>
        <v/>
      </c>
      <c r="Z48" s="3" t="str">
        <f t="shared" si="3"/>
        <v>Outro</v>
      </c>
    </row>
    <row r="49" spans="2:26" ht="15" customHeight="1" x14ac:dyDescent="0.2">
      <c r="B49" s="77" t="str">
        <f>IF('DETALHE GANHOS E GASTOS'!B48&lt;&gt;"",'DETALHE GANHOS E GASTOS'!B48,"")</f>
        <v>6.3.2.2.8</v>
      </c>
      <c r="C49" s="48" t="str">
        <f>IF('DETALHE GANHOS E GASTOS'!C48&lt;&gt;"",'DETALHE GANHOS E GASTOS'!C48,"")</f>
        <v>Deslocações e estadias</v>
      </c>
      <c r="D49" s="87">
        <f>IFERROR(INDEX('DETALHE GANHOS E GASTOS'!$C$14:$H$123,MATCH($C49,'DETALHE GANHOS E GASTOS'!$C$14:$C$123,0),4),"")</f>
        <v>0</v>
      </c>
      <c r="E49" s="87">
        <f>IFERROR(INDEX('DETALHE GANHOS E GASTOS'!$C$14:$H$123,MATCH($C49,'DETALHE GANHOS E GASTOS'!$C$14:$C$123,0),5),"")</f>
        <v>0</v>
      </c>
      <c r="F49" s="87">
        <f>IFERROR(INDEX('DETALHE GANHOS E GASTOS'!$C$14:$H$123,MATCH($C49,'DETALHE GANHOS E GASTOS'!$C$14:$C$123,0),6),"")</f>
        <v>8465</v>
      </c>
      <c r="G49" s="308"/>
      <c r="H49" s="61">
        <f t="shared" si="0"/>
        <v>-1</v>
      </c>
      <c r="J49" s="144" t="str">
        <f t="shared" si="38"/>
        <v/>
      </c>
      <c r="K49" s="3" t="str">
        <f t="shared" si="23"/>
        <v/>
      </c>
      <c r="L49" s="3" t="str">
        <f t="shared" si="24"/>
        <v/>
      </c>
      <c r="M49" s="3" t="str">
        <f t="shared" si="25"/>
        <v/>
      </c>
      <c r="N49" s="3" t="str">
        <f t="shared" si="26"/>
        <v/>
      </c>
      <c r="O49" s="3" t="str">
        <f t="shared" si="27"/>
        <v/>
      </c>
      <c r="P49" s="3" t="str">
        <f t="shared" si="28"/>
        <v/>
      </c>
      <c r="Q49" s="3" t="str">
        <f t="shared" si="29"/>
        <v/>
      </c>
      <c r="R49" s="3" t="str">
        <f t="shared" si="30"/>
        <v/>
      </c>
      <c r="S49" s="3" t="str">
        <f t="shared" si="31"/>
        <v/>
      </c>
      <c r="T49" s="3" t="str">
        <f t="shared" si="32"/>
        <v/>
      </c>
      <c r="U49" s="3" t="str">
        <f t="shared" si="33"/>
        <v/>
      </c>
      <c r="V49" s="3" t="str">
        <f t="shared" si="34"/>
        <v/>
      </c>
      <c r="W49" s="3" t="str">
        <f t="shared" si="35"/>
        <v/>
      </c>
      <c r="X49" s="3" t="str">
        <f t="shared" si="36"/>
        <v/>
      </c>
      <c r="Y49" s="3" t="str">
        <f t="shared" si="37"/>
        <v/>
      </c>
      <c r="Z49" s="3" t="str">
        <f t="shared" si="3"/>
        <v>Outro</v>
      </c>
    </row>
    <row r="50" spans="2:26" ht="15" customHeight="1" x14ac:dyDescent="0.2">
      <c r="B50" s="77" t="str">
        <f>IF('DETALHE GANHOS E GASTOS'!B49&lt;&gt;"",'DETALHE GANHOS E GASTOS'!B49,"")</f>
        <v>6.3.2.2.9</v>
      </c>
      <c r="C50" s="48" t="str">
        <f>IF('DETALHE GANHOS E GASTOS'!C49&lt;&gt;"",'DETALHE GANHOS E GASTOS'!C49,"")</f>
        <v>Despesas de representação</v>
      </c>
      <c r="D50" s="87">
        <f>IFERROR(INDEX('DETALHE GANHOS E GASTOS'!$C$14:$H$123,MATCH($C50,'DETALHE GANHOS E GASTOS'!$C$14:$C$123,0),4),"")</f>
        <v>0</v>
      </c>
      <c r="E50" s="87">
        <f>IFERROR(INDEX('DETALHE GANHOS E GASTOS'!$C$14:$H$123,MATCH($C50,'DETALHE GANHOS E GASTOS'!$C$14:$C$123,0),5),"")</f>
        <v>0</v>
      </c>
      <c r="F50" s="87">
        <f>IFERROR(INDEX('DETALHE GANHOS E GASTOS'!$C$14:$H$123,MATCH($C50,'DETALHE GANHOS E GASTOS'!$C$14:$C$123,0),6),"")</f>
        <v>318400.21999999997</v>
      </c>
      <c r="G50" s="308"/>
      <c r="H50" s="61">
        <f t="shared" si="0"/>
        <v>-1</v>
      </c>
      <c r="J50" s="144" t="str">
        <f t="shared" si="38"/>
        <v/>
      </c>
      <c r="K50" s="3" t="str">
        <f t="shared" si="23"/>
        <v/>
      </c>
      <c r="L50" s="3" t="str">
        <f t="shared" si="24"/>
        <v/>
      </c>
      <c r="M50" s="3" t="str">
        <f t="shared" si="25"/>
        <v/>
      </c>
      <c r="N50" s="3" t="str">
        <f t="shared" si="26"/>
        <v/>
      </c>
      <c r="O50" s="3" t="str">
        <f t="shared" si="27"/>
        <v/>
      </c>
      <c r="P50" s="3" t="str">
        <f t="shared" si="28"/>
        <v/>
      </c>
      <c r="Q50" s="3" t="str">
        <f t="shared" si="29"/>
        <v/>
      </c>
      <c r="R50" s="3" t="str">
        <f t="shared" si="30"/>
        <v/>
      </c>
      <c r="S50" s="3" t="str">
        <f t="shared" si="31"/>
        <v/>
      </c>
      <c r="T50" s="3" t="str">
        <f t="shared" si="32"/>
        <v/>
      </c>
      <c r="U50" s="3" t="str">
        <f t="shared" si="33"/>
        <v/>
      </c>
      <c r="V50" s="3" t="str">
        <f t="shared" si="34"/>
        <v/>
      </c>
      <c r="W50" s="3" t="str">
        <f t="shared" si="35"/>
        <v/>
      </c>
      <c r="X50" s="3" t="str">
        <f t="shared" si="36"/>
        <v/>
      </c>
      <c r="Y50" s="3" t="str">
        <f t="shared" si="37"/>
        <v/>
      </c>
      <c r="Z50" s="3" t="str">
        <f t="shared" si="3"/>
        <v>Outro</v>
      </c>
    </row>
    <row r="51" spans="2:26" ht="15" customHeight="1" x14ac:dyDescent="0.2">
      <c r="B51" s="77" t="str">
        <f>IF('DETALHE GANHOS E GASTOS'!B50&lt;&gt;"",'DETALHE GANHOS E GASTOS'!B50,"")</f>
        <v>6.3.2.3.1</v>
      </c>
      <c r="C51" s="48" t="str">
        <f>IF('DETALHE GANHOS E GASTOS'!C50&lt;&gt;"",'DETALHE GANHOS E GASTOS'!C50,"")</f>
        <v>Contencioso e notariado</v>
      </c>
      <c r="D51" s="87">
        <f>IFERROR(INDEX('DETALHE GANHOS E GASTOS'!$C$14:$H$123,MATCH($C51,'DETALHE GANHOS E GASTOS'!$C$14:$C$123,0),4),"")</f>
        <v>0</v>
      </c>
      <c r="E51" s="87">
        <f>IFERROR(INDEX('DETALHE GANHOS E GASTOS'!$C$14:$H$123,MATCH($C51,'DETALHE GANHOS E GASTOS'!$C$14:$C$123,0),5),"")</f>
        <v>0</v>
      </c>
      <c r="F51" s="87">
        <f>IFERROR(INDEX('DETALHE GANHOS E GASTOS'!$C$14:$H$123,MATCH($C51,'DETALHE GANHOS E GASTOS'!$C$14:$C$123,0),6),"")</f>
        <v>400</v>
      </c>
      <c r="G51" s="308"/>
      <c r="H51" s="61">
        <f t="shared" si="0"/>
        <v>-1</v>
      </c>
      <c r="J51" s="144" t="str">
        <f t="shared" si="38"/>
        <v/>
      </c>
      <c r="K51" s="3" t="str">
        <f t="shared" si="23"/>
        <v/>
      </c>
      <c r="L51" s="3" t="str">
        <f t="shared" si="24"/>
        <v/>
      </c>
      <c r="M51" s="3" t="str">
        <f t="shared" si="25"/>
        <v/>
      </c>
      <c r="N51" s="3" t="str">
        <f t="shared" si="26"/>
        <v/>
      </c>
      <c r="O51" s="3" t="str">
        <f t="shared" si="27"/>
        <v/>
      </c>
      <c r="P51" s="3" t="str">
        <f t="shared" si="28"/>
        <v/>
      </c>
      <c r="Q51" s="3" t="str">
        <f t="shared" si="29"/>
        <v/>
      </c>
      <c r="R51" s="3" t="str">
        <f t="shared" si="30"/>
        <v/>
      </c>
      <c r="S51" s="3" t="str">
        <f t="shared" si="31"/>
        <v/>
      </c>
      <c r="T51" s="3" t="str">
        <f t="shared" si="32"/>
        <v/>
      </c>
      <c r="U51" s="3" t="str">
        <f t="shared" si="33"/>
        <v/>
      </c>
      <c r="V51" s="3" t="str">
        <f t="shared" si="34"/>
        <v/>
      </c>
      <c r="W51" s="3" t="str">
        <f t="shared" si="35"/>
        <v/>
      </c>
      <c r="X51" s="3" t="str">
        <f t="shared" si="36"/>
        <v/>
      </c>
      <c r="Y51" s="3" t="str">
        <f t="shared" si="37"/>
        <v/>
      </c>
      <c r="Z51" s="3" t="str">
        <f t="shared" si="3"/>
        <v>Outro</v>
      </c>
    </row>
    <row r="52" spans="2:26" ht="15" customHeight="1" x14ac:dyDescent="0.2">
      <c r="B52" s="77" t="str">
        <f>IF('DETALHE GANHOS E GASTOS'!B51&lt;&gt;"",'DETALHE GANHOS E GASTOS'!B51,"")</f>
        <v>6.3.2.3.2</v>
      </c>
      <c r="C52" s="48" t="str">
        <f>IF('DETALHE GANHOS E GASTOS'!C51&lt;&gt;"",'DETALHE GANHOS E GASTOS'!C51,"")</f>
        <v>Rendas e alugueres</v>
      </c>
      <c r="D52" s="87">
        <f>IFERROR(INDEX('DETALHE GANHOS E GASTOS'!$C$14:$H$123,MATCH($C52,'DETALHE GANHOS E GASTOS'!$C$14:$C$123,0),4),"")</f>
        <v>0</v>
      </c>
      <c r="E52" s="87">
        <f>IFERROR(INDEX('DETALHE GANHOS E GASTOS'!$C$14:$H$123,MATCH($C52,'DETALHE GANHOS E GASTOS'!$C$14:$C$123,0),5),"")</f>
        <v>0</v>
      </c>
      <c r="F52" s="87">
        <f>IFERROR(INDEX('DETALHE GANHOS E GASTOS'!$C$14:$H$123,MATCH($C52,'DETALHE GANHOS E GASTOS'!$C$14:$C$123,0),6),"")</f>
        <v>353463.77</v>
      </c>
      <c r="G52" s="308"/>
      <c r="H52" s="61">
        <f t="shared" si="0"/>
        <v>-1</v>
      </c>
      <c r="J52" s="144" t="str">
        <f t="shared" si="38"/>
        <v/>
      </c>
      <c r="K52" s="3" t="str">
        <f t="shared" si="23"/>
        <v/>
      </c>
      <c r="L52" s="3" t="str">
        <f t="shared" si="24"/>
        <v/>
      </c>
      <c r="M52" s="3" t="str">
        <f t="shared" si="25"/>
        <v/>
      </c>
      <c r="N52" s="3" t="str">
        <f t="shared" si="26"/>
        <v/>
      </c>
      <c r="O52" s="3" t="str">
        <f t="shared" si="27"/>
        <v/>
      </c>
      <c r="P52" s="3" t="str">
        <f t="shared" si="28"/>
        <v/>
      </c>
      <c r="Q52" s="3" t="str">
        <f t="shared" si="29"/>
        <v/>
      </c>
      <c r="R52" s="3" t="str">
        <f t="shared" si="30"/>
        <v/>
      </c>
      <c r="S52" s="3" t="str">
        <f t="shared" si="31"/>
        <v/>
      </c>
      <c r="T52" s="3" t="str">
        <f t="shared" si="32"/>
        <v/>
      </c>
      <c r="U52" s="3" t="str">
        <f t="shared" si="33"/>
        <v/>
      </c>
      <c r="V52" s="3" t="str">
        <f t="shared" si="34"/>
        <v/>
      </c>
      <c r="W52" s="3" t="str">
        <f t="shared" si="35"/>
        <v/>
      </c>
      <c r="X52" s="3" t="str">
        <f t="shared" si="36"/>
        <v/>
      </c>
      <c r="Y52" s="3" t="str">
        <f t="shared" si="37"/>
        <v/>
      </c>
      <c r="Z52" s="3" t="str">
        <f t="shared" si="3"/>
        <v>Outro</v>
      </c>
    </row>
    <row r="53" spans="2:26" ht="15" customHeight="1" x14ac:dyDescent="0.2">
      <c r="B53" s="77" t="str">
        <f>IF('DETALHE GANHOS E GASTOS'!B52&lt;&gt;"",'DETALHE GANHOS E GASTOS'!B52,"")</f>
        <v>6.3.2.3.3</v>
      </c>
      <c r="C53" s="48" t="str">
        <f>IF('DETALHE GANHOS E GASTOS'!C52&lt;&gt;"",'DETALHE GANHOS E GASTOS'!C52,"")</f>
        <v>Seguros</v>
      </c>
      <c r="D53" s="87">
        <f>IFERROR(INDEX('DETALHE GANHOS E GASTOS'!$C$14:$H$123,MATCH($C53,'DETALHE GANHOS E GASTOS'!$C$14:$C$123,0),4),"")</f>
        <v>0</v>
      </c>
      <c r="E53" s="87">
        <f>IFERROR(INDEX('DETALHE GANHOS E GASTOS'!$C$14:$H$123,MATCH($C53,'DETALHE GANHOS E GASTOS'!$C$14:$C$123,0),5),"")</f>
        <v>0</v>
      </c>
      <c r="F53" s="87">
        <f>IFERROR(INDEX('DETALHE GANHOS E GASTOS'!$C$14:$H$123,MATCH($C53,'DETALHE GANHOS E GASTOS'!$C$14:$C$123,0),6),"")</f>
        <v>0</v>
      </c>
      <c r="G53" s="308"/>
      <c r="H53" s="61" t="str">
        <f t="shared" si="0"/>
        <v/>
      </c>
      <c r="J53" s="144" t="str">
        <f t="shared" si="38"/>
        <v/>
      </c>
      <c r="K53" s="3" t="str">
        <f t="shared" si="23"/>
        <v/>
      </c>
      <c r="L53" s="3" t="str">
        <f t="shared" si="24"/>
        <v/>
      </c>
      <c r="M53" s="3" t="str">
        <f t="shared" si="25"/>
        <v/>
      </c>
      <c r="N53" s="3" t="str">
        <f t="shared" si="26"/>
        <v/>
      </c>
      <c r="O53" s="3" t="str">
        <f t="shared" si="27"/>
        <v/>
      </c>
      <c r="P53" s="3" t="str">
        <f t="shared" si="28"/>
        <v/>
      </c>
      <c r="Q53" s="3" t="str">
        <f t="shared" si="29"/>
        <v/>
      </c>
      <c r="R53" s="3" t="str">
        <f t="shared" si="30"/>
        <v/>
      </c>
      <c r="S53" s="3" t="str">
        <f t="shared" si="31"/>
        <v/>
      </c>
      <c r="T53" s="3" t="str">
        <f t="shared" si="32"/>
        <v/>
      </c>
      <c r="U53" s="3" t="str">
        <f t="shared" si="33"/>
        <v/>
      </c>
      <c r="V53" s="3" t="str">
        <f t="shared" si="34"/>
        <v/>
      </c>
      <c r="W53" s="3" t="str">
        <f t="shared" si="35"/>
        <v/>
      </c>
      <c r="X53" s="3" t="str">
        <f t="shared" si="36"/>
        <v/>
      </c>
      <c r="Y53" s="3" t="str">
        <f t="shared" si="37"/>
        <v/>
      </c>
      <c r="Z53" s="3" t="str">
        <f t="shared" si="3"/>
        <v>Outro</v>
      </c>
    </row>
    <row r="54" spans="2:26" ht="15" customHeight="1" x14ac:dyDescent="0.2">
      <c r="B54" s="77" t="str">
        <f>IF('DETALHE GANHOS E GASTOS'!B53&lt;&gt;"",'DETALHE GANHOS E GASTOS'!B53,"")</f>
        <v>6.3.2.3.4</v>
      </c>
      <c r="C54" s="48" t="str">
        <f>IF('DETALHE GANHOS E GASTOS'!C53&lt;&gt;"",'DETALHE GANHOS E GASTOS'!C53,"")</f>
        <v>Royalties</v>
      </c>
      <c r="D54" s="87">
        <f>IFERROR(INDEX('DETALHE GANHOS E GASTOS'!$C$14:$H$123,MATCH($C54,'DETALHE GANHOS E GASTOS'!$C$14:$C$123,0),4),"")</f>
        <v>0</v>
      </c>
      <c r="E54" s="87">
        <f>IFERROR(INDEX('DETALHE GANHOS E GASTOS'!$C$14:$H$123,MATCH($C54,'DETALHE GANHOS E GASTOS'!$C$14:$C$123,0),5),"")</f>
        <v>0</v>
      </c>
      <c r="F54" s="87">
        <f>IFERROR(INDEX('DETALHE GANHOS E GASTOS'!$C$14:$H$123,MATCH($C54,'DETALHE GANHOS E GASTOS'!$C$14:$C$123,0),6),"")</f>
        <v>0</v>
      </c>
      <c r="G54" s="308"/>
      <c r="H54" s="61" t="str">
        <f t="shared" si="0"/>
        <v/>
      </c>
      <c r="J54" s="144" t="str">
        <f t="shared" si="38"/>
        <v/>
      </c>
      <c r="K54" s="3" t="str">
        <f t="shared" si="23"/>
        <v/>
      </c>
      <c r="L54" s="3" t="str">
        <f t="shared" si="24"/>
        <v/>
      </c>
      <c r="M54" s="3" t="str">
        <f t="shared" si="25"/>
        <v/>
      </c>
      <c r="N54" s="3" t="str">
        <f t="shared" si="26"/>
        <v/>
      </c>
      <c r="O54" s="3" t="str">
        <f t="shared" si="27"/>
        <v/>
      </c>
      <c r="P54" s="3" t="str">
        <f t="shared" si="28"/>
        <v/>
      </c>
      <c r="Q54" s="3" t="str">
        <f t="shared" si="29"/>
        <v/>
      </c>
      <c r="R54" s="3" t="str">
        <f t="shared" si="30"/>
        <v/>
      </c>
      <c r="S54" s="3" t="str">
        <f t="shared" si="31"/>
        <v/>
      </c>
      <c r="T54" s="3" t="str">
        <f t="shared" si="32"/>
        <v/>
      </c>
      <c r="U54" s="3" t="str">
        <f t="shared" si="33"/>
        <v/>
      </c>
      <c r="V54" s="3" t="str">
        <f t="shared" si="34"/>
        <v/>
      </c>
      <c r="W54" s="3" t="str">
        <f t="shared" si="35"/>
        <v/>
      </c>
      <c r="X54" s="3" t="str">
        <f t="shared" si="36"/>
        <v/>
      </c>
      <c r="Y54" s="3" t="str">
        <f t="shared" si="37"/>
        <v/>
      </c>
      <c r="Z54" s="3" t="str">
        <f t="shared" si="3"/>
        <v>Outro</v>
      </c>
    </row>
    <row r="55" spans="2:26" ht="15" customHeight="1" x14ac:dyDescent="0.2">
      <c r="B55" s="77" t="str">
        <f>IF('DETALHE GANHOS E GASTOS'!B54&lt;&gt;"",'DETALHE GANHOS E GASTOS'!B54,"")</f>
        <v>6.3.2.3.5</v>
      </c>
      <c r="C55" s="48" t="str">
        <f>IF('DETALHE GANHOS E GASTOS'!C54&lt;&gt;"",'DETALHE GANHOS E GASTOS'!C54,"")</f>
        <v>Limpeza, higiene e conforto</v>
      </c>
      <c r="D55" s="87">
        <f>IFERROR(INDEX('DETALHE GANHOS E GASTOS'!$C$14:$H$123,MATCH($C55,'DETALHE GANHOS E GASTOS'!$C$14:$C$123,0),4),"")</f>
        <v>0</v>
      </c>
      <c r="E55" s="87">
        <f>IFERROR(INDEX('DETALHE GANHOS E GASTOS'!$C$14:$H$123,MATCH($C55,'DETALHE GANHOS E GASTOS'!$C$14:$C$123,0),5),"")</f>
        <v>0</v>
      </c>
      <c r="F55" s="87">
        <f>IFERROR(INDEX('DETALHE GANHOS E GASTOS'!$C$14:$H$123,MATCH($C55,'DETALHE GANHOS E GASTOS'!$C$14:$C$123,0),6),"")</f>
        <v>4000</v>
      </c>
      <c r="G55" s="308"/>
      <c r="H55" s="61">
        <f t="shared" si="0"/>
        <v>-1</v>
      </c>
      <c r="J55" s="144" t="str">
        <f t="shared" si="38"/>
        <v/>
      </c>
      <c r="K55" s="3" t="str">
        <f t="shared" si="23"/>
        <v/>
      </c>
      <c r="L55" s="3" t="str">
        <f t="shared" si="24"/>
        <v/>
      </c>
      <c r="M55" s="3" t="str">
        <f t="shared" si="25"/>
        <v/>
      </c>
      <c r="N55" s="3" t="str">
        <f t="shared" si="26"/>
        <v/>
      </c>
      <c r="O55" s="3" t="str">
        <f t="shared" si="27"/>
        <v/>
      </c>
      <c r="P55" s="3" t="str">
        <f t="shared" si="28"/>
        <v/>
      </c>
      <c r="Q55" s="3" t="str">
        <f t="shared" si="29"/>
        <v/>
      </c>
      <c r="R55" s="3" t="str">
        <f t="shared" si="30"/>
        <v/>
      </c>
      <c r="S55" s="3" t="str">
        <f t="shared" si="31"/>
        <v/>
      </c>
      <c r="T55" s="3" t="str">
        <f t="shared" si="32"/>
        <v/>
      </c>
      <c r="U55" s="3" t="str">
        <f t="shared" si="33"/>
        <v/>
      </c>
      <c r="V55" s="3" t="str">
        <f t="shared" si="34"/>
        <v/>
      </c>
      <c r="W55" s="3" t="str">
        <f t="shared" si="35"/>
        <v/>
      </c>
      <c r="X55" s="3" t="str">
        <f t="shared" si="36"/>
        <v/>
      </c>
      <c r="Y55" s="3" t="str">
        <f t="shared" si="37"/>
        <v/>
      </c>
      <c r="Z55" s="3" t="str">
        <f t="shared" si="3"/>
        <v>Outro</v>
      </c>
    </row>
    <row r="56" spans="2:26" ht="15" customHeight="1" x14ac:dyDescent="0.2">
      <c r="B56" s="77" t="str">
        <f>IF('DETALHE GANHOS E GASTOS'!B55&lt;&gt;"",'DETALHE GANHOS E GASTOS'!B55,"")</f>
        <v>6.3.2.3.6</v>
      </c>
      <c r="C56" s="48" t="str">
        <f>IF('DETALHE GANHOS E GASTOS'!C55&lt;&gt;"",'DETALHE GANHOS E GASTOS'!C55,"")</f>
        <v>Vigilância e segurança</v>
      </c>
      <c r="D56" s="87">
        <f>IFERROR(INDEX('DETALHE GANHOS E GASTOS'!$C$14:$H$123,MATCH($C56,'DETALHE GANHOS E GASTOS'!$C$14:$C$123,0),4),"")</f>
        <v>0</v>
      </c>
      <c r="E56" s="87">
        <f>IFERROR(INDEX('DETALHE GANHOS E GASTOS'!$C$14:$H$123,MATCH($C56,'DETALHE GANHOS E GASTOS'!$C$14:$C$123,0),5),"")</f>
        <v>0</v>
      </c>
      <c r="F56" s="87">
        <f>IFERROR(INDEX('DETALHE GANHOS E GASTOS'!$C$14:$H$123,MATCH($C56,'DETALHE GANHOS E GASTOS'!$C$14:$C$123,0),6),"")</f>
        <v>0</v>
      </c>
      <c r="G56" s="308"/>
      <c r="H56" s="61" t="str">
        <f t="shared" si="0"/>
        <v/>
      </c>
      <c r="J56" s="144" t="str">
        <f t="shared" si="38"/>
        <v/>
      </c>
      <c r="K56" s="3" t="str">
        <f t="shared" si="23"/>
        <v/>
      </c>
      <c r="L56" s="3" t="str">
        <f t="shared" si="24"/>
        <v/>
      </c>
      <c r="M56" s="3" t="str">
        <f t="shared" si="25"/>
        <v/>
      </c>
      <c r="N56" s="3" t="str">
        <f t="shared" si="26"/>
        <v/>
      </c>
      <c r="O56" s="3" t="str">
        <f t="shared" si="27"/>
        <v/>
      </c>
      <c r="P56" s="3" t="str">
        <f t="shared" si="28"/>
        <v/>
      </c>
      <c r="Q56" s="3" t="str">
        <f t="shared" si="29"/>
        <v/>
      </c>
      <c r="R56" s="3" t="str">
        <f t="shared" si="30"/>
        <v/>
      </c>
      <c r="S56" s="3" t="str">
        <f t="shared" si="31"/>
        <v/>
      </c>
      <c r="T56" s="3" t="str">
        <f t="shared" si="32"/>
        <v/>
      </c>
      <c r="U56" s="3" t="str">
        <f t="shared" si="33"/>
        <v/>
      </c>
      <c r="V56" s="3" t="str">
        <f t="shared" si="34"/>
        <v/>
      </c>
      <c r="W56" s="3" t="str">
        <f t="shared" si="35"/>
        <v/>
      </c>
      <c r="X56" s="3" t="str">
        <f t="shared" si="36"/>
        <v/>
      </c>
      <c r="Y56" s="3" t="str">
        <f t="shared" si="37"/>
        <v/>
      </c>
      <c r="Z56" s="3" t="str">
        <f t="shared" si="3"/>
        <v>Outro</v>
      </c>
    </row>
    <row r="57" spans="2:26" ht="15" customHeight="1" x14ac:dyDescent="0.2">
      <c r="B57" s="77" t="str">
        <f>IF('DETALHE GANHOS E GASTOS'!B56&lt;&gt;"",'DETALHE GANHOS E GASTOS'!B56,"")</f>
        <v>6.3.2.3.7</v>
      </c>
      <c r="C57" s="48" t="str">
        <f>IF('DETALHE GANHOS E GASTOS'!C56&lt;&gt;"",'DETALHE GANHOS E GASTOS'!C56,"")</f>
        <v>Trabalhos especializados</v>
      </c>
      <c r="D57" s="87">
        <f>IFERROR(INDEX('DETALHE GANHOS E GASTOS'!$C$14:$H$123,MATCH($C57,'DETALHE GANHOS E GASTOS'!$C$14:$C$123,0),4),"")</f>
        <v>0</v>
      </c>
      <c r="E57" s="87">
        <f>IFERROR(INDEX('DETALHE GANHOS E GASTOS'!$C$14:$H$123,MATCH($C57,'DETALHE GANHOS E GASTOS'!$C$14:$C$123,0),5),"")</f>
        <v>0</v>
      </c>
      <c r="F57" s="87">
        <f>IFERROR(INDEX('DETALHE GANHOS E GASTOS'!$C$14:$H$123,MATCH($C57,'DETALHE GANHOS E GASTOS'!$C$14:$C$123,0),6),"")</f>
        <v>562838</v>
      </c>
      <c r="G57" s="308"/>
      <c r="H57" s="61">
        <f t="shared" si="0"/>
        <v>-1</v>
      </c>
      <c r="J57" s="144" t="str">
        <f t="shared" si="38"/>
        <v/>
      </c>
      <c r="K57" s="3" t="str">
        <f t="shared" si="23"/>
        <v/>
      </c>
      <c r="L57" s="3" t="str">
        <f t="shared" si="24"/>
        <v/>
      </c>
      <c r="M57" s="3" t="str">
        <f t="shared" si="25"/>
        <v/>
      </c>
      <c r="N57" s="3" t="str">
        <f t="shared" si="26"/>
        <v/>
      </c>
      <c r="O57" s="3" t="str">
        <f t="shared" si="27"/>
        <v/>
      </c>
      <c r="P57" s="3" t="str">
        <f t="shared" si="28"/>
        <v/>
      </c>
      <c r="Q57" s="3" t="str">
        <f t="shared" si="29"/>
        <v/>
      </c>
      <c r="R57" s="3" t="str">
        <f t="shared" si="30"/>
        <v/>
      </c>
      <c r="S57" s="3" t="str">
        <f t="shared" si="31"/>
        <v/>
      </c>
      <c r="T57" s="3" t="str">
        <f t="shared" si="32"/>
        <v/>
      </c>
      <c r="U57" s="3" t="str">
        <f t="shared" si="33"/>
        <v/>
      </c>
      <c r="V57" s="3" t="str">
        <f t="shared" si="34"/>
        <v/>
      </c>
      <c r="W57" s="3" t="str">
        <f t="shared" si="35"/>
        <v/>
      </c>
      <c r="X57" s="3" t="str">
        <f t="shared" si="36"/>
        <v/>
      </c>
      <c r="Y57" s="3" t="str">
        <f t="shared" si="37"/>
        <v/>
      </c>
      <c r="Z57" s="3" t="str">
        <f t="shared" si="3"/>
        <v>Outro</v>
      </c>
    </row>
    <row r="58" spans="2:26" ht="15" customHeight="1" x14ac:dyDescent="0.2">
      <c r="B58" s="77" t="str">
        <f>IF('DETALHE GANHOS E GASTOS'!B57&lt;&gt;"",'DETALHE GANHOS E GASTOS'!B57,"")</f>
        <v>6.3.2.3.8</v>
      </c>
      <c r="C58" s="48" t="str">
        <f>IF('DETALHE GANHOS E GASTOS'!C57&lt;&gt;"",'DETALHE GANHOS E GASTOS'!C57,"")</f>
        <v/>
      </c>
      <c r="D58" s="87" t="str">
        <f>IFERROR(INDEX('DETALHE GANHOS E GASTOS'!$C$14:$H$123,MATCH($C58,'DETALHE GANHOS E GASTOS'!$C$14:$C$123,0),4),"")</f>
        <v/>
      </c>
      <c r="E58" s="87" t="str">
        <f>IFERROR(INDEX('DETALHE GANHOS E GASTOS'!$C$14:$H$123,MATCH($C58,'DETALHE GANHOS E GASTOS'!$C$14:$C$123,0),5),"")</f>
        <v/>
      </c>
      <c r="F58" s="87" t="str">
        <f>IFERROR(INDEX('DETALHE GANHOS E GASTOS'!$C$14:$H$123,MATCH($C58,'DETALHE GANHOS E GASTOS'!$C$14:$C$123,0),6),"")</f>
        <v/>
      </c>
      <c r="G58" s="308"/>
      <c r="H58" s="61" t="str">
        <f t="shared" si="0"/>
        <v/>
      </c>
      <c r="J58" s="144" t="str">
        <f t="shared" si="38"/>
        <v/>
      </c>
      <c r="K58" s="3" t="str">
        <f t="shared" si="23"/>
        <v/>
      </c>
      <c r="L58" s="3" t="str">
        <f t="shared" si="24"/>
        <v/>
      </c>
      <c r="M58" s="3" t="str">
        <f t="shared" si="25"/>
        <v/>
      </c>
      <c r="N58" s="3" t="str">
        <f t="shared" si="26"/>
        <v/>
      </c>
      <c r="O58" s="3" t="str">
        <f t="shared" si="27"/>
        <v/>
      </c>
      <c r="P58" s="3" t="str">
        <f t="shared" si="28"/>
        <v/>
      </c>
      <c r="Q58" s="3" t="str">
        <f t="shared" si="29"/>
        <v/>
      </c>
      <c r="R58" s="3" t="str">
        <f t="shared" si="30"/>
        <v/>
      </c>
      <c r="S58" s="3" t="str">
        <f t="shared" si="31"/>
        <v/>
      </c>
      <c r="T58" s="3" t="str">
        <f t="shared" si="32"/>
        <v/>
      </c>
      <c r="U58" s="3" t="str">
        <f t="shared" si="33"/>
        <v/>
      </c>
      <c r="V58" s="3" t="str">
        <f t="shared" si="34"/>
        <v/>
      </c>
      <c r="W58" s="3" t="str">
        <f t="shared" si="35"/>
        <v/>
      </c>
      <c r="X58" s="3" t="str">
        <f t="shared" si="36"/>
        <v/>
      </c>
      <c r="Y58" s="3" t="str">
        <f t="shared" si="37"/>
        <v/>
      </c>
      <c r="Z58" s="3" t="str">
        <f t="shared" si="3"/>
        <v>Outro</v>
      </c>
    </row>
    <row r="59" spans="2:26" ht="15" customHeight="1" x14ac:dyDescent="0.2">
      <c r="B59" s="77" t="str">
        <f>IF('DETALHE GANHOS E GASTOS'!B58&lt;&gt;"",'DETALHE GANHOS E GASTOS'!B58,"")</f>
        <v>6.3.2.3.9</v>
      </c>
      <c r="C59" s="48" t="str">
        <f>IF('DETALHE GANHOS E GASTOS'!C58&lt;&gt;"",'DETALHE GANHOS E GASTOS'!C58,"")</f>
        <v/>
      </c>
      <c r="D59" s="87" t="str">
        <f>IFERROR(INDEX('DETALHE GANHOS E GASTOS'!$C$14:$H$123,MATCH($C59,'DETALHE GANHOS E GASTOS'!$C$14:$C$123,0),4),"")</f>
        <v/>
      </c>
      <c r="E59" s="87" t="str">
        <f>IFERROR(INDEX('DETALHE GANHOS E GASTOS'!$C$14:$H$123,MATCH($C59,'DETALHE GANHOS E GASTOS'!$C$14:$C$123,0),5),"")</f>
        <v/>
      </c>
      <c r="F59" s="87" t="str">
        <f>IFERROR(INDEX('DETALHE GANHOS E GASTOS'!$C$14:$H$123,MATCH($C59,'DETALHE GANHOS E GASTOS'!$C$14:$C$123,0),6),"")</f>
        <v/>
      </c>
      <c r="G59" s="308"/>
      <c r="H59" s="61" t="str">
        <f t="shared" si="0"/>
        <v/>
      </c>
      <c r="J59" s="144" t="str">
        <f t="shared" si="38"/>
        <v/>
      </c>
      <c r="K59" s="3" t="str">
        <f t="shared" si="23"/>
        <v/>
      </c>
      <c r="L59" s="3" t="str">
        <f t="shared" si="24"/>
        <v/>
      </c>
      <c r="M59" s="3" t="str">
        <f t="shared" si="25"/>
        <v/>
      </c>
      <c r="N59" s="3" t="str">
        <f t="shared" si="26"/>
        <v/>
      </c>
      <c r="O59" s="3" t="str">
        <f t="shared" si="27"/>
        <v/>
      </c>
      <c r="P59" s="3" t="str">
        <f t="shared" si="28"/>
        <v/>
      </c>
      <c r="Q59" s="3" t="str">
        <f t="shared" si="29"/>
        <v/>
      </c>
      <c r="R59" s="3" t="str">
        <f t="shared" si="30"/>
        <v/>
      </c>
      <c r="S59" s="3" t="str">
        <f t="shared" si="31"/>
        <v/>
      </c>
      <c r="T59" s="3" t="str">
        <f t="shared" si="32"/>
        <v/>
      </c>
      <c r="U59" s="3" t="str">
        <f t="shared" si="33"/>
        <v/>
      </c>
      <c r="V59" s="3" t="str">
        <f t="shared" si="34"/>
        <v/>
      </c>
      <c r="W59" s="3" t="str">
        <f t="shared" si="35"/>
        <v/>
      </c>
      <c r="X59" s="3" t="str">
        <f t="shared" si="36"/>
        <v/>
      </c>
      <c r="Y59" s="3" t="str">
        <f t="shared" si="37"/>
        <v/>
      </c>
      <c r="Z59" s="3" t="str">
        <f t="shared" si="3"/>
        <v>Outro</v>
      </c>
    </row>
    <row r="60" spans="2:26" ht="15" customHeight="1" x14ac:dyDescent="0.2">
      <c r="B60" s="77" t="str">
        <f>IF('DETALHE GANHOS E GASTOS'!B59&lt;&gt;"",'DETALHE GANHOS E GASTOS'!B59,"")</f>
        <v>6.3.2.9.9</v>
      </c>
      <c r="C60" s="48" t="str">
        <f>IF('DETALHE GANHOS E GASTOS'!C59&lt;&gt;"",'DETALHE GANHOS E GASTOS'!C59,"")</f>
        <v>Outros fornecimentos e serviços</v>
      </c>
      <c r="D60" s="87">
        <f>IFERROR(INDEX('DETALHE GANHOS E GASTOS'!$C$14:$H$123,MATCH($C60,'DETALHE GANHOS E GASTOS'!$C$14:$C$123,0),4),"")</f>
        <v>0</v>
      </c>
      <c r="E60" s="87">
        <f>IFERROR(INDEX('DETALHE GANHOS E GASTOS'!$C$14:$H$123,MATCH($C60,'DETALHE GANHOS E GASTOS'!$C$14:$C$123,0),5),"")</f>
        <v>0</v>
      </c>
      <c r="F60" s="87">
        <f>IFERROR(INDEX('DETALHE GANHOS E GASTOS'!$C$14:$H$123,MATCH($C60,'DETALHE GANHOS E GASTOS'!$C$14:$C$123,0),6),"")</f>
        <v>116258.5</v>
      </c>
      <c r="G60" s="308"/>
      <c r="H60" s="61">
        <f t="shared" si="0"/>
        <v>-1</v>
      </c>
      <c r="J60" s="144" t="str">
        <f t="shared" si="38"/>
        <v/>
      </c>
      <c r="K60" s="3" t="str">
        <f t="shared" si="23"/>
        <v/>
      </c>
      <c r="L60" s="3" t="str">
        <f t="shared" si="24"/>
        <v/>
      </c>
      <c r="M60" s="3" t="str">
        <f t="shared" si="25"/>
        <v/>
      </c>
      <c r="N60" s="3" t="str">
        <f t="shared" si="26"/>
        <v/>
      </c>
      <c r="O60" s="3" t="str">
        <f t="shared" si="27"/>
        <v/>
      </c>
      <c r="P60" s="3" t="str">
        <f t="shared" si="28"/>
        <v/>
      </c>
      <c r="Q60" s="3" t="str">
        <f t="shared" si="29"/>
        <v/>
      </c>
      <c r="R60" s="3" t="str">
        <f t="shared" si="30"/>
        <v/>
      </c>
      <c r="S60" s="3" t="str">
        <f t="shared" si="31"/>
        <v/>
      </c>
      <c r="T60" s="3" t="str">
        <f t="shared" si="32"/>
        <v/>
      </c>
      <c r="U60" s="3" t="str">
        <f t="shared" si="33"/>
        <v/>
      </c>
      <c r="V60" s="3" t="str">
        <f t="shared" si="34"/>
        <v/>
      </c>
      <c r="W60" s="3" t="str">
        <f t="shared" si="35"/>
        <v/>
      </c>
      <c r="X60" s="3" t="str">
        <f t="shared" si="36"/>
        <v/>
      </c>
      <c r="Y60" s="3" t="str">
        <f t="shared" si="37"/>
        <v/>
      </c>
      <c r="Z60" s="3" t="str">
        <f t="shared" si="3"/>
        <v>Outro</v>
      </c>
    </row>
    <row r="61" spans="2:26" ht="15" customHeight="1" x14ac:dyDescent="0.2">
      <c r="B61" s="77" t="str">
        <f>IF('DETALHE GANHOS E GASTOS'!B60&lt;&gt;"",'DETALHE GANHOS E GASTOS'!B60,"")</f>
        <v/>
      </c>
      <c r="C61" s="48" t="str">
        <f>IF('DETALHE GANHOS E GASTOS'!C60&lt;&gt;"",'DETALHE GANHOS E GASTOS'!C60,"")</f>
        <v/>
      </c>
      <c r="D61" s="87" t="str">
        <f>IFERROR(INDEX('DETALHE GANHOS E GASTOS'!$C$14:$H$123,MATCH($C61,'DETALHE GANHOS E GASTOS'!$C$14:$C$123,0),4),"")</f>
        <v/>
      </c>
      <c r="E61" s="87" t="str">
        <f>IFERROR(INDEX('DETALHE GANHOS E GASTOS'!$C$14:$H$123,MATCH($C61,'DETALHE GANHOS E GASTOS'!$C$14:$C$123,0),5),"")</f>
        <v/>
      </c>
      <c r="F61" s="87" t="str">
        <f>IFERROR(INDEX('DETALHE GANHOS E GASTOS'!$C$14:$H$123,MATCH($C61,'DETALHE GANHOS E GASTOS'!$C$14:$C$123,0),6),"")</f>
        <v/>
      </c>
      <c r="G61" s="308"/>
      <c r="H61" s="61" t="str">
        <f t="shared" si="0"/>
        <v/>
      </c>
      <c r="J61" s="144" t="str">
        <f t="shared" si="38"/>
        <v/>
      </c>
      <c r="K61" s="3" t="str">
        <f t="shared" si="23"/>
        <v/>
      </c>
      <c r="L61" s="3" t="str">
        <f t="shared" si="24"/>
        <v/>
      </c>
      <c r="M61" s="3" t="str">
        <f t="shared" si="25"/>
        <v/>
      </c>
      <c r="N61" s="3" t="str">
        <f t="shared" si="26"/>
        <v/>
      </c>
      <c r="O61" s="3" t="str">
        <f t="shared" si="27"/>
        <v/>
      </c>
      <c r="P61" s="3" t="str">
        <f t="shared" si="28"/>
        <v/>
      </c>
      <c r="Q61" s="3" t="str">
        <f t="shared" si="29"/>
        <v/>
      </c>
      <c r="R61" s="3" t="str">
        <f t="shared" si="30"/>
        <v/>
      </c>
      <c r="S61" s="3" t="str">
        <f t="shared" si="31"/>
        <v/>
      </c>
      <c r="T61" s="3" t="str">
        <f t="shared" si="32"/>
        <v/>
      </c>
      <c r="U61" s="3" t="str">
        <f t="shared" si="33"/>
        <v/>
      </c>
      <c r="V61" s="3" t="str">
        <f t="shared" si="34"/>
        <v/>
      </c>
      <c r="W61" s="3" t="str">
        <f t="shared" si="35"/>
        <v/>
      </c>
      <c r="X61" s="3" t="str">
        <f t="shared" si="36"/>
        <v/>
      </c>
      <c r="Y61" s="3" t="str">
        <f t="shared" si="37"/>
        <v/>
      </c>
      <c r="Z61" s="3" t="str">
        <f t="shared" si="3"/>
        <v>Outro</v>
      </c>
    </row>
    <row r="62" spans="2:26" ht="15" customHeight="1" x14ac:dyDescent="0.2">
      <c r="B62" s="77" t="str">
        <f>IF('DETALHE GANHOS E GASTOS'!B61&lt;&gt;"",'DETALHE GANHOS E GASTOS'!B61,"")</f>
        <v/>
      </c>
      <c r="C62" s="48" t="str">
        <f>IF('DETALHE GANHOS E GASTOS'!C61&lt;&gt;"",'DETALHE GANHOS E GASTOS'!C61,"")</f>
        <v/>
      </c>
      <c r="D62" s="87" t="str">
        <f>IFERROR(INDEX('DETALHE GANHOS E GASTOS'!$C$14:$H$123,MATCH($C62,'DETALHE GANHOS E GASTOS'!$C$14:$C$123,0),4),"")</f>
        <v/>
      </c>
      <c r="E62" s="87" t="str">
        <f>IFERROR(INDEX('DETALHE GANHOS E GASTOS'!$C$14:$H$123,MATCH($C62,'DETALHE GANHOS E GASTOS'!$C$14:$C$123,0),5),"")</f>
        <v/>
      </c>
      <c r="F62" s="87" t="str">
        <f>IFERROR(INDEX('DETALHE GANHOS E GASTOS'!$C$14:$H$123,MATCH($C62,'DETALHE GANHOS E GASTOS'!$C$14:$C$123,0),6),"")</f>
        <v/>
      </c>
      <c r="G62" s="308"/>
      <c r="H62" s="61" t="str">
        <f t="shared" si="0"/>
        <v/>
      </c>
      <c r="J62" s="144" t="str">
        <f t="shared" si="38"/>
        <v/>
      </c>
      <c r="K62" s="3" t="str">
        <f t="shared" si="23"/>
        <v/>
      </c>
      <c r="L62" s="3" t="str">
        <f t="shared" si="24"/>
        <v/>
      </c>
      <c r="M62" s="3" t="str">
        <f t="shared" si="25"/>
        <v/>
      </c>
      <c r="N62" s="3" t="str">
        <f t="shared" si="26"/>
        <v/>
      </c>
      <c r="O62" s="3" t="str">
        <f t="shared" si="27"/>
        <v/>
      </c>
      <c r="P62" s="3" t="str">
        <f t="shared" si="28"/>
        <v/>
      </c>
      <c r="Q62" s="3" t="str">
        <f t="shared" si="29"/>
        <v/>
      </c>
      <c r="R62" s="3" t="str">
        <f t="shared" si="30"/>
        <v/>
      </c>
      <c r="S62" s="3" t="str">
        <f t="shared" si="31"/>
        <v/>
      </c>
      <c r="T62" s="3" t="str">
        <f t="shared" si="32"/>
        <v/>
      </c>
      <c r="U62" s="3" t="str">
        <f t="shared" si="33"/>
        <v/>
      </c>
      <c r="V62" s="3" t="str">
        <f t="shared" si="34"/>
        <v/>
      </c>
      <c r="W62" s="3" t="str">
        <f t="shared" si="35"/>
        <v/>
      </c>
      <c r="X62" s="3" t="str">
        <f t="shared" si="36"/>
        <v/>
      </c>
      <c r="Y62" s="3" t="str">
        <f t="shared" si="37"/>
        <v/>
      </c>
      <c r="Z62" s="3" t="str">
        <f t="shared" si="3"/>
        <v>Outro</v>
      </c>
    </row>
    <row r="63" spans="2:26" ht="15" customHeight="1" x14ac:dyDescent="0.2">
      <c r="B63" s="77" t="str">
        <f>IF('DETALHE GANHOS E GASTOS'!B62&lt;&gt;"",'DETALHE GANHOS E GASTOS'!B62,"")</f>
        <v/>
      </c>
      <c r="C63" s="48" t="str">
        <f>IF('DETALHE GANHOS E GASTOS'!C62&lt;&gt;"",'DETALHE GANHOS E GASTOS'!C62,"")</f>
        <v/>
      </c>
      <c r="D63" s="87" t="str">
        <f>IFERROR(INDEX('DETALHE GANHOS E GASTOS'!$C$14:$H$123,MATCH($C63,'DETALHE GANHOS E GASTOS'!$C$14:$C$123,0),4),"")</f>
        <v/>
      </c>
      <c r="E63" s="87" t="str">
        <f>IFERROR(INDEX('DETALHE GANHOS E GASTOS'!$C$14:$H$123,MATCH($C63,'DETALHE GANHOS E GASTOS'!$C$14:$C$123,0),5),"")</f>
        <v/>
      </c>
      <c r="F63" s="87" t="str">
        <f>IFERROR(INDEX('DETALHE GANHOS E GASTOS'!$C$14:$H$123,MATCH($C63,'DETALHE GANHOS E GASTOS'!$C$14:$C$123,0),6),"")</f>
        <v/>
      </c>
      <c r="G63" s="308"/>
      <c r="H63" s="61" t="str">
        <f t="shared" si="0"/>
        <v/>
      </c>
      <c r="J63" s="144" t="str">
        <f t="shared" si="38"/>
        <v/>
      </c>
      <c r="K63" s="3" t="str">
        <f t="shared" si="23"/>
        <v/>
      </c>
      <c r="L63" s="3" t="str">
        <f t="shared" si="24"/>
        <v/>
      </c>
      <c r="M63" s="3" t="str">
        <f t="shared" si="25"/>
        <v/>
      </c>
      <c r="N63" s="3" t="str">
        <f t="shared" si="26"/>
        <v/>
      </c>
      <c r="O63" s="3" t="str">
        <f t="shared" si="27"/>
        <v/>
      </c>
      <c r="P63" s="3" t="str">
        <f t="shared" si="28"/>
        <v/>
      </c>
      <c r="Q63" s="3" t="str">
        <f t="shared" si="29"/>
        <v/>
      </c>
      <c r="R63" s="3" t="str">
        <f t="shared" si="30"/>
        <v/>
      </c>
      <c r="S63" s="3" t="str">
        <f t="shared" si="31"/>
        <v/>
      </c>
      <c r="T63" s="3" t="str">
        <f t="shared" si="32"/>
        <v/>
      </c>
      <c r="U63" s="3" t="str">
        <f t="shared" si="33"/>
        <v/>
      </c>
      <c r="V63" s="3" t="str">
        <f t="shared" si="34"/>
        <v/>
      </c>
      <c r="W63" s="3" t="str">
        <f t="shared" si="35"/>
        <v/>
      </c>
      <c r="X63" s="3" t="str">
        <f t="shared" si="36"/>
        <v/>
      </c>
      <c r="Y63" s="3" t="str">
        <f t="shared" si="37"/>
        <v/>
      </c>
      <c r="Z63" s="3" t="str">
        <f t="shared" si="3"/>
        <v>Outro</v>
      </c>
    </row>
    <row r="64" spans="2:26" ht="15" customHeight="1" x14ac:dyDescent="0.2">
      <c r="B64" s="77" t="str">
        <f>IF('DETALHE GANHOS E GASTOS'!B63&lt;&gt;"",'DETALHE GANHOS E GASTOS'!B63,"")</f>
        <v/>
      </c>
      <c r="C64" s="48" t="str">
        <f>IF('DETALHE GANHOS E GASTOS'!C63&lt;&gt;"",'DETALHE GANHOS E GASTOS'!C63,"")</f>
        <v/>
      </c>
      <c r="D64" s="87" t="str">
        <f>IFERROR(INDEX('DETALHE GANHOS E GASTOS'!$C$14:$H$123,MATCH($C64,'DETALHE GANHOS E GASTOS'!$C$14:$C$123,0),4),"")</f>
        <v/>
      </c>
      <c r="E64" s="87" t="str">
        <f>IFERROR(INDEX('DETALHE GANHOS E GASTOS'!$C$14:$H$123,MATCH($C64,'DETALHE GANHOS E GASTOS'!$C$14:$C$123,0),5),"")</f>
        <v/>
      </c>
      <c r="F64" s="87" t="str">
        <f>IFERROR(INDEX('DETALHE GANHOS E GASTOS'!$C$14:$H$123,MATCH($C64,'DETALHE GANHOS E GASTOS'!$C$14:$C$123,0),6),"")</f>
        <v/>
      </c>
      <c r="G64" s="308"/>
      <c r="H64" s="61" t="str">
        <f t="shared" si="0"/>
        <v/>
      </c>
      <c r="J64" s="144" t="str">
        <f t="shared" si="38"/>
        <v/>
      </c>
      <c r="K64" s="3" t="str">
        <f t="shared" si="23"/>
        <v/>
      </c>
      <c r="L64" s="3" t="str">
        <f t="shared" si="24"/>
        <v/>
      </c>
      <c r="M64" s="3" t="str">
        <f t="shared" si="25"/>
        <v/>
      </c>
      <c r="N64" s="3" t="str">
        <f t="shared" si="26"/>
        <v/>
      </c>
      <c r="O64" s="3" t="str">
        <f t="shared" si="27"/>
        <v/>
      </c>
      <c r="P64" s="3" t="str">
        <f t="shared" si="28"/>
        <v/>
      </c>
      <c r="Q64" s="3" t="str">
        <f t="shared" si="29"/>
        <v/>
      </c>
      <c r="R64" s="3" t="str">
        <f t="shared" si="30"/>
        <v/>
      </c>
      <c r="S64" s="3" t="str">
        <f t="shared" si="31"/>
        <v/>
      </c>
      <c r="T64" s="3" t="str">
        <f t="shared" si="32"/>
        <v/>
      </c>
      <c r="U64" s="3" t="str">
        <f t="shared" si="33"/>
        <v/>
      </c>
      <c r="V64" s="3" t="str">
        <f t="shared" si="34"/>
        <v/>
      </c>
      <c r="W64" s="3" t="str">
        <f t="shared" si="35"/>
        <v/>
      </c>
      <c r="X64" s="3" t="str">
        <f t="shared" si="36"/>
        <v/>
      </c>
      <c r="Y64" s="3" t="str">
        <f t="shared" si="37"/>
        <v/>
      </c>
      <c r="Z64" s="3" t="str">
        <f t="shared" si="3"/>
        <v>Outro</v>
      </c>
    </row>
    <row r="65" spans="2:26" ht="15" customHeight="1" x14ac:dyDescent="0.2">
      <c r="B65" s="77" t="str">
        <f>IF('DETALHE GANHOS E GASTOS'!B64&lt;&gt;"",'DETALHE GANHOS E GASTOS'!B64,"")</f>
        <v/>
      </c>
      <c r="C65" s="48" t="str">
        <f>IF('DETALHE GANHOS E GASTOS'!C64&lt;&gt;"",'DETALHE GANHOS E GASTOS'!C64,"")</f>
        <v/>
      </c>
      <c r="D65" s="87" t="str">
        <f>IFERROR(INDEX('DETALHE GANHOS E GASTOS'!$C$14:$H$123,MATCH($C65,'DETALHE GANHOS E GASTOS'!$C$14:$C$123,0),4),"")</f>
        <v/>
      </c>
      <c r="E65" s="87" t="str">
        <f>IFERROR(INDEX('DETALHE GANHOS E GASTOS'!$C$14:$H$123,MATCH($C65,'DETALHE GANHOS E GASTOS'!$C$14:$C$123,0),5),"")</f>
        <v/>
      </c>
      <c r="F65" s="87" t="str">
        <f>IFERROR(INDEX('DETALHE GANHOS E GASTOS'!$C$14:$H$123,MATCH($C65,'DETALHE GANHOS E GASTOS'!$C$14:$C$123,0),6),"")</f>
        <v/>
      </c>
      <c r="G65" s="308"/>
      <c r="H65" s="61" t="str">
        <f t="shared" si="0"/>
        <v/>
      </c>
      <c r="J65" s="144" t="str">
        <f t="shared" si="38"/>
        <v/>
      </c>
      <c r="K65" s="3" t="str">
        <f t="shared" si="23"/>
        <v/>
      </c>
      <c r="L65" s="3" t="str">
        <f t="shared" si="24"/>
        <v/>
      </c>
      <c r="M65" s="3" t="str">
        <f t="shared" si="25"/>
        <v/>
      </c>
      <c r="N65" s="3" t="str">
        <f t="shared" si="26"/>
        <v/>
      </c>
      <c r="O65" s="3" t="str">
        <f t="shared" si="27"/>
        <v/>
      </c>
      <c r="P65" s="3" t="str">
        <f t="shared" si="28"/>
        <v/>
      </c>
      <c r="Q65" s="3" t="str">
        <f t="shared" si="29"/>
        <v/>
      </c>
      <c r="R65" s="3" t="str">
        <f t="shared" si="30"/>
        <v/>
      </c>
      <c r="S65" s="3" t="str">
        <f t="shared" si="31"/>
        <v/>
      </c>
      <c r="T65" s="3" t="str">
        <f t="shared" si="32"/>
        <v/>
      </c>
      <c r="U65" s="3" t="str">
        <f t="shared" si="33"/>
        <v/>
      </c>
      <c r="V65" s="3" t="str">
        <f t="shared" si="34"/>
        <v/>
      </c>
      <c r="W65" s="3" t="str">
        <f t="shared" si="35"/>
        <v/>
      </c>
      <c r="X65" s="3" t="str">
        <f t="shared" si="36"/>
        <v/>
      </c>
      <c r="Y65" s="3" t="str">
        <f t="shared" si="37"/>
        <v/>
      </c>
      <c r="Z65" s="3" t="str">
        <f t="shared" si="3"/>
        <v>Outro</v>
      </c>
    </row>
    <row r="66" spans="2:26" ht="15" customHeight="1" x14ac:dyDescent="0.25">
      <c r="B66" s="77" t="str">
        <f>IF('DETALHE GANHOS E GASTOS'!B65&lt;&gt;"",'DETALHE GANHOS E GASTOS'!B65,"")</f>
        <v/>
      </c>
      <c r="C66" s="48" t="str">
        <f>IF('DETALHE GANHOS E GASTOS'!C65&lt;&gt;"",'DETALHE GANHOS E GASTOS'!C65,"")</f>
        <v/>
      </c>
      <c r="D66" s="87" t="str">
        <f>IFERROR(INDEX('DETALHE GANHOS E GASTOS'!$C$14:$H$123,MATCH($C66,'DETALHE GANHOS E GASTOS'!$C$14:$C$123,0),4),"")</f>
        <v/>
      </c>
      <c r="E66" s="87" t="str">
        <f>IFERROR(INDEX('DETALHE GANHOS E GASTOS'!$C$14:$H$123,MATCH($C66,'DETALHE GANHOS E GASTOS'!$C$14:$C$123,0),5),"")</f>
        <v/>
      </c>
      <c r="F66" s="87" t="str">
        <f>IFERROR(INDEX('DETALHE GANHOS E GASTOS'!$C$14:$H$123,MATCH($C66,'DETALHE GANHOS E GASTOS'!$C$14:$C$123,0),6),"")</f>
        <v/>
      </c>
      <c r="G66" s="308"/>
      <c r="H66" s="61" t="str">
        <f t="shared" si="0"/>
        <v/>
      </c>
      <c r="J66" s="144" t="str">
        <f t="shared" si="38"/>
        <v/>
      </c>
      <c r="K66" s="3" t="str">
        <f t="shared" si="23"/>
        <v/>
      </c>
      <c r="L66" s="3" t="str">
        <f t="shared" si="24"/>
        <v/>
      </c>
      <c r="M66" s="3" t="str">
        <f t="shared" si="25"/>
        <v/>
      </c>
      <c r="N66" s="3" t="str">
        <f t="shared" si="26"/>
        <v/>
      </c>
      <c r="O66" s="3" t="str">
        <f t="shared" si="27"/>
        <v/>
      </c>
      <c r="P66" s="3" t="str">
        <f t="shared" si="28"/>
        <v/>
      </c>
      <c r="Q66" s="3" t="str">
        <f t="shared" si="29"/>
        <v/>
      </c>
      <c r="R66" s="3" t="str">
        <f t="shared" si="30"/>
        <v/>
      </c>
      <c r="S66" s="3" t="str">
        <f t="shared" si="31"/>
        <v/>
      </c>
      <c r="T66" s="3" t="str">
        <f t="shared" si="32"/>
        <v/>
      </c>
      <c r="U66" s="3" t="str">
        <f t="shared" si="33"/>
        <v/>
      </c>
      <c r="V66" s="3" t="str">
        <f t="shared" si="34"/>
        <v/>
      </c>
      <c r="W66" s="3" t="str">
        <f t="shared" si="35"/>
        <v/>
      </c>
      <c r="X66" s="3" t="str">
        <f t="shared" si="36"/>
        <v/>
      </c>
      <c r="Y66" s="3" t="str">
        <f t="shared" si="37"/>
        <v/>
      </c>
      <c r="Z66" s="3" t="str">
        <f t="shared" si="3"/>
        <v>Outro</v>
      </c>
    </row>
    <row r="67" spans="2:26" ht="15" customHeight="1" x14ac:dyDescent="0.25">
      <c r="B67" s="77" t="str">
        <f>IF('DETALHE GANHOS E GASTOS'!B66&lt;&gt;"",'DETALHE GANHOS E GASTOS'!B66,"")</f>
        <v/>
      </c>
      <c r="C67" s="48" t="str">
        <f>IF('DETALHE GANHOS E GASTOS'!C66&lt;&gt;"",'DETALHE GANHOS E GASTOS'!C66,"")</f>
        <v/>
      </c>
      <c r="D67" s="87" t="str">
        <f>IFERROR(INDEX('DETALHE GANHOS E GASTOS'!$C$14:$H$123,MATCH($C67,'DETALHE GANHOS E GASTOS'!$C$14:$C$123,0),4),"")</f>
        <v/>
      </c>
      <c r="E67" s="87" t="str">
        <f>IFERROR(INDEX('DETALHE GANHOS E GASTOS'!$C$14:$H$123,MATCH($C67,'DETALHE GANHOS E GASTOS'!$C$14:$C$123,0),5),"")</f>
        <v/>
      </c>
      <c r="F67" s="87" t="str">
        <f>IFERROR(INDEX('DETALHE GANHOS E GASTOS'!$C$14:$H$123,MATCH($C67,'DETALHE GANHOS E GASTOS'!$C$14:$C$123,0),6),"")</f>
        <v/>
      </c>
      <c r="G67" s="308"/>
      <c r="H67" s="61" t="str">
        <f t="shared" si="0"/>
        <v/>
      </c>
      <c r="J67" s="144" t="str">
        <f t="shared" si="38"/>
        <v/>
      </c>
      <c r="K67" s="3" t="str">
        <f t="shared" si="23"/>
        <v/>
      </c>
      <c r="L67" s="3" t="str">
        <f t="shared" si="24"/>
        <v/>
      </c>
      <c r="M67" s="3" t="str">
        <f t="shared" si="25"/>
        <v/>
      </c>
      <c r="N67" s="3" t="str">
        <f t="shared" si="26"/>
        <v/>
      </c>
      <c r="O67" s="3" t="str">
        <f t="shared" si="27"/>
        <v/>
      </c>
      <c r="P67" s="3" t="str">
        <f t="shared" si="28"/>
        <v/>
      </c>
      <c r="Q67" s="3" t="str">
        <f t="shared" si="29"/>
        <v/>
      </c>
      <c r="R67" s="3" t="str">
        <f t="shared" si="30"/>
        <v/>
      </c>
      <c r="S67" s="3" t="str">
        <f t="shared" si="31"/>
        <v/>
      </c>
      <c r="T67" s="3" t="str">
        <f t="shared" si="32"/>
        <v/>
      </c>
      <c r="U67" s="3" t="str">
        <f t="shared" si="33"/>
        <v/>
      </c>
      <c r="V67" s="3" t="str">
        <f t="shared" si="34"/>
        <v/>
      </c>
      <c r="W67" s="3" t="str">
        <f t="shared" si="35"/>
        <v/>
      </c>
      <c r="X67" s="3" t="str">
        <f t="shared" si="36"/>
        <v/>
      </c>
      <c r="Y67" s="3" t="str">
        <f t="shared" si="37"/>
        <v/>
      </c>
      <c r="Z67" s="3" t="str">
        <f t="shared" si="3"/>
        <v>Outro</v>
      </c>
    </row>
    <row r="68" spans="2:26" ht="15" customHeight="1" x14ac:dyDescent="0.25">
      <c r="B68" s="73" t="str">
        <f>IF('DETALHE GANHOS E GASTOS'!B67&lt;&gt;"",'DETALHE GANHOS E GASTOS'!B67,"")</f>
        <v>6.4</v>
      </c>
      <c r="C68" s="53" t="str">
        <f>IF('DETALHE GANHOS E GASTOS'!C67&lt;&gt;"",'DETALHE GANHOS E GASTOS'!C67,"")</f>
        <v>AJUSTAMENTOS DO PERÍODO</v>
      </c>
      <c r="D68" s="211">
        <f>SUM(D69:D75)</f>
        <v>0</v>
      </c>
      <c r="E68" s="211">
        <f t="shared" ref="E68" si="39">SUM(E69:E75)</f>
        <v>0</v>
      </c>
      <c r="F68" s="211">
        <f t="shared" ref="F68:G68" si="40">SUM(F69:F75)</f>
        <v>0</v>
      </c>
      <c r="G68" s="309">
        <f t="shared" si="40"/>
        <v>0</v>
      </c>
      <c r="H68" s="212" t="str">
        <f t="shared" si="0"/>
        <v/>
      </c>
    </row>
    <row r="69" spans="2:26" ht="15" customHeight="1" x14ac:dyDescent="0.25">
      <c r="B69" s="77" t="str">
        <f>IF('DETALHE GANHOS E GASTOS'!B68&lt;&gt;"",'DETALHE GANHOS E GASTOS'!B68,"")</f>
        <v>6.4.1</v>
      </c>
      <c r="C69" s="48" t="str">
        <f>IF('DETALHE GANHOS E GASTOS'!C68&lt;&gt;"",'DETALHE GANHOS E GASTOS'!C68,"")</f>
        <v>Ajustamentos de inventários para o valor realizável líquido</v>
      </c>
      <c r="D69" s="87">
        <f>IFERROR(INDEX('DETALHE GANHOS E GASTOS'!$C$14:$H$123,MATCH($C69,'DETALHE GANHOS E GASTOS'!$C$14:$C$123,0),4),"")</f>
        <v>0</v>
      </c>
      <c r="E69" s="87">
        <f>IFERROR(INDEX('DETALHE GANHOS E GASTOS'!$C$14:$H$123,MATCH($C69,'DETALHE GANHOS E GASTOS'!$C$14:$C$123,0),5),"")</f>
        <v>0</v>
      </c>
      <c r="F69" s="87">
        <f>IFERROR(INDEX('DETALHE GANHOS E GASTOS'!$C$14:$H$123,MATCH($C69,'DETALHE GANHOS E GASTOS'!$C$14:$C$123,0),6),"")</f>
        <v>0</v>
      </c>
      <c r="G69" s="308"/>
      <c r="H69" s="61" t="str">
        <f t="shared" si="0"/>
        <v/>
      </c>
      <c r="J69" s="144" t="str">
        <f t="shared" si="38"/>
        <v/>
      </c>
      <c r="K69" s="3" t="str">
        <f t="shared" ref="K69:K75" si="41">IF($J69=MAX(J$16:J$18,J$20:J$30,J$32:J$67,J$69:J$75,J$77:J$82,J$84:J$94,J$96:J$101,J$103:J$113,J$115:J$124),"max1",$J69)</f>
        <v/>
      </c>
      <c r="L69" s="3" t="str">
        <f t="shared" ref="L69:L75" si="42">IF($K69=MAX(K$16:K$18,K$20:K$30,K$32:K$67,K$69:K$75,K$77:K$82,K$84:K$94,K$96:K$101,K$103:K$113,K$115:K$124),"max2",$K69)</f>
        <v/>
      </c>
      <c r="M69" s="3" t="str">
        <f t="shared" ref="M69:M75" si="43">IF($L69=MAX(L$16:L$18,L$20:L$30,L$32:L$67,L$69:L$75,L$77:L$82,L$84:L$94,L$96:L$101,L$103:L$113,L$115:L$124),"max3",$L69)</f>
        <v/>
      </c>
      <c r="N69" s="3" t="str">
        <f t="shared" ref="N69:N75" si="44">IF($M69=MAX(M$16:M$18,M$20:M$30,M$32:M$67,M$69:M$75,M$77:M$82,M$84:M$94,M$96:M$101,M$103:M$113,M$115:M$124),"max4",$M69)</f>
        <v/>
      </c>
      <c r="O69" s="3" t="str">
        <f t="shared" ref="O69:O75" si="45">IF($N69=MAX(N$16:N$18,N$20:N$30,N$32:N$67,N$69:N$75,N$77:N$82,N$84:N$94,N$96:N$101,N$103:N$113,N$115:N$124),"max5",$N69)</f>
        <v/>
      </c>
      <c r="P69" s="3" t="str">
        <f t="shared" ref="P69:P75" si="46">IF($O69=MAX(O$16:O$18,O$20:O$30,O$32:O$67,O$69:O$75,O$77:O$82,O$84:O$94,O$96:O$101,O$103:O$113,O$115:O$124),"max6",$O69)</f>
        <v/>
      </c>
      <c r="Q69" s="3" t="str">
        <f t="shared" ref="Q69:Q75" si="47">IF($P69=MAX(P$16:P$18,P$20:P$30,P$32:P$67,P$69:P$75,P$77:P$82,P$84:P$94,P$96:P$101,P$103:P$113,P$115:P$124),"max7",$P69)</f>
        <v/>
      </c>
      <c r="R69" s="3" t="str">
        <f t="shared" ref="R69:R75" si="48">IF($Q69=MAX(Q$16:Q$18,Q$20:Q$30,Q$32:Q$67,Q$69:Q$75,Q$77:Q$82,Q$84:Q$94,Q$96:Q$101,Q$103:Q$113,Q$115:Q$124),"max8",$Q69)</f>
        <v/>
      </c>
      <c r="S69" s="3" t="str">
        <f t="shared" ref="S69:S75" si="49">IF($R69=MAX(R$16:R$18,R$20:R$30,R$32:R$67,R$69:R$75,R$77:R$82,R$84:R$94,R$96:R$101,R$103:R$113,R$115:R$124),"max9",$R69)</f>
        <v/>
      </c>
      <c r="T69" s="3" t="str">
        <f t="shared" ref="T69:T75" si="50">IF($S69=MAX(S$16:S$18,S$20:S$30,S$32:S$67,S$69:S$75,S$77:S$82,S$84:S$94,S$96:S$101,S$103:S$113,S$115:S$124),"max10",$S69)</f>
        <v/>
      </c>
      <c r="U69" s="3" t="str">
        <f t="shared" ref="U69:U75" si="51">IF($T69=MAX(T$16:T$18,T$20:T$30,T$32:T$67,T$69:T$75,T$77:T$82,T$84:T$94,T$96:T$101,T$103:T$113,T$115:T$124),"max11",$T69)</f>
        <v/>
      </c>
      <c r="V69" s="3" t="str">
        <f t="shared" ref="V69:V75" si="52">IF($U69=MAX(U$16:U$18,U$20:U$30,U$32:U$67,U$69:U$75,U$77:U$82,U$84:U$94,U$96:U$101,U$103:U$113,U$115:U$124),"max12",$U69)</f>
        <v/>
      </c>
      <c r="W69" s="3" t="str">
        <f t="shared" ref="W69:W75" si="53">IF($V69=MAX(V$16:V$18,V$20:V$30,V$32:V$67,V$69:V$75,V$77:V$82,V$84:V$94,V$96:V$101,V$103:V$113,V$115:V$124),"max13",$V69)</f>
        <v/>
      </c>
      <c r="X69" s="3" t="str">
        <f t="shared" ref="X69:X75" si="54">IF($W69=MAX(W$16:W$18,W$20:W$30,W$32:W$67,W$69:W$75,W$77:W$82,W$84:W$94,W$96:W$101,W$103:W$113,W$115:W$124),"max14",$W69)</f>
        <v/>
      </c>
      <c r="Y69" s="3" t="str">
        <f t="shared" ref="Y69:Y75" si="55">IF($X69=MAX(X$16:X$18,X$20:X$30,X$32:X$67,X$69:X$75,X$77:X$82,X$84:X$94,X$96:X$101,X$103:X$113,X$115:X$124),"max15",$X69)</f>
        <v/>
      </c>
      <c r="Z69" s="3" t="str">
        <f t="shared" si="3"/>
        <v>Outro</v>
      </c>
    </row>
    <row r="70" spans="2:26" ht="15" customHeight="1" x14ac:dyDescent="0.25">
      <c r="B70" s="77" t="str">
        <f>IF('DETALHE GANHOS E GASTOS'!B69&lt;&gt;"",'DETALHE GANHOS E GASTOS'!B69,"")</f>
        <v>6.4.2</v>
      </c>
      <c r="C70" s="48" t="str">
        <f>IF('DETALHE GANHOS E GASTOS'!C69&lt;&gt;"",'DETALHE GANHOS E GASTOS'!C69,"")</f>
        <v>Investimentos financeiros</v>
      </c>
      <c r="D70" s="87">
        <f>IFERROR(INDEX('DETALHE GANHOS E GASTOS'!$C$14:$H$123,MATCH($C70,'DETALHE GANHOS E GASTOS'!$C$14:$C$123,0),4),"")</f>
        <v>0</v>
      </c>
      <c r="E70" s="87">
        <f>IFERROR(INDEX('DETALHE GANHOS E GASTOS'!$C$14:$H$123,MATCH($C70,'DETALHE GANHOS E GASTOS'!$C$14:$C$123,0),5),"")</f>
        <v>0</v>
      </c>
      <c r="F70" s="87">
        <f>IFERROR(INDEX('DETALHE GANHOS E GASTOS'!$C$14:$H$123,MATCH($C70,'DETALHE GANHOS E GASTOS'!$C$14:$C$123,0),6),"")</f>
        <v>0</v>
      </c>
      <c r="G70" s="308"/>
      <c r="H70" s="61" t="str">
        <f t="shared" si="0"/>
        <v/>
      </c>
      <c r="J70" s="144" t="str">
        <f t="shared" si="38"/>
        <v/>
      </c>
      <c r="K70" s="3" t="str">
        <f t="shared" si="41"/>
        <v/>
      </c>
      <c r="L70" s="3" t="str">
        <f t="shared" si="42"/>
        <v/>
      </c>
      <c r="M70" s="3" t="str">
        <f t="shared" si="43"/>
        <v/>
      </c>
      <c r="N70" s="3" t="str">
        <f t="shared" si="44"/>
        <v/>
      </c>
      <c r="O70" s="3" t="str">
        <f t="shared" si="45"/>
        <v/>
      </c>
      <c r="P70" s="3" t="str">
        <f t="shared" si="46"/>
        <v/>
      </c>
      <c r="Q70" s="3" t="str">
        <f t="shared" si="47"/>
        <v/>
      </c>
      <c r="R70" s="3" t="str">
        <f t="shared" si="48"/>
        <v/>
      </c>
      <c r="S70" s="3" t="str">
        <f t="shared" si="49"/>
        <v/>
      </c>
      <c r="T70" s="3" t="str">
        <f t="shared" si="50"/>
        <v/>
      </c>
      <c r="U70" s="3" t="str">
        <f t="shared" si="51"/>
        <v/>
      </c>
      <c r="V70" s="3" t="str">
        <f t="shared" si="52"/>
        <v/>
      </c>
      <c r="W70" s="3" t="str">
        <f t="shared" si="53"/>
        <v/>
      </c>
      <c r="X70" s="3" t="str">
        <f t="shared" si="54"/>
        <v/>
      </c>
      <c r="Y70" s="3" t="str">
        <f t="shared" si="55"/>
        <v/>
      </c>
      <c r="Z70" s="3" t="str">
        <f t="shared" si="3"/>
        <v>Outro</v>
      </c>
    </row>
    <row r="71" spans="2:26" ht="15" customHeight="1" x14ac:dyDescent="0.25">
      <c r="B71" s="77" t="str">
        <f>IF('DETALHE GANHOS E GASTOS'!B70&lt;&gt;"",'DETALHE GANHOS E GASTOS'!B70,"")</f>
        <v>6.4.3</v>
      </c>
      <c r="C71" s="48" t="str">
        <f>IF('DETALHE GANHOS E GASTOS'!C70&lt;&gt;"",'DETALHE GANHOS E GASTOS'!C70,"")</f>
        <v>Activos tangíveis de investimento</v>
      </c>
      <c r="D71" s="87">
        <f>IFERROR(INDEX('DETALHE GANHOS E GASTOS'!$C$14:$H$123,MATCH($C71,'DETALHE GANHOS E GASTOS'!$C$14:$C$123,0),4),"")</f>
        <v>0</v>
      </c>
      <c r="E71" s="87">
        <f>IFERROR(INDEX('DETALHE GANHOS E GASTOS'!$C$14:$H$123,MATCH($C71,'DETALHE GANHOS E GASTOS'!$C$14:$C$123,0),5),"")</f>
        <v>0</v>
      </c>
      <c r="F71" s="87">
        <f>IFERROR(INDEX('DETALHE GANHOS E GASTOS'!$C$14:$H$123,MATCH($C71,'DETALHE GANHOS E GASTOS'!$C$14:$C$123,0),6),"")</f>
        <v>0</v>
      </c>
      <c r="G71" s="308"/>
      <c r="H71" s="61" t="str">
        <f t="shared" si="0"/>
        <v/>
      </c>
      <c r="J71" s="144" t="str">
        <f t="shared" si="38"/>
        <v/>
      </c>
      <c r="K71" s="3" t="str">
        <f t="shared" si="41"/>
        <v/>
      </c>
      <c r="L71" s="3" t="str">
        <f t="shared" si="42"/>
        <v/>
      </c>
      <c r="M71" s="3" t="str">
        <f t="shared" si="43"/>
        <v/>
      </c>
      <c r="N71" s="3" t="str">
        <f t="shared" si="44"/>
        <v/>
      </c>
      <c r="O71" s="3" t="str">
        <f t="shared" si="45"/>
        <v/>
      </c>
      <c r="P71" s="3" t="str">
        <f t="shared" si="46"/>
        <v/>
      </c>
      <c r="Q71" s="3" t="str">
        <f t="shared" si="47"/>
        <v/>
      </c>
      <c r="R71" s="3" t="str">
        <f t="shared" si="48"/>
        <v/>
      </c>
      <c r="S71" s="3" t="str">
        <f t="shared" si="49"/>
        <v/>
      </c>
      <c r="T71" s="3" t="str">
        <f t="shared" si="50"/>
        <v/>
      </c>
      <c r="U71" s="3" t="str">
        <f t="shared" si="51"/>
        <v/>
      </c>
      <c r="V71" s="3" t="str">
        <f t="shared" si="52"/>
        <v/>
      </c>
      <c r="W71" s="3" t="str">
        <f t="shared" si="53"/>
        <v/>
      </c>
      <c r="X71" s="3" t="str">
        <f t="shared" si="54"/>
        <v/>
      </c>
      <c r="Y71" s="3" t="str">
        <f t="shared" si="55"/>
        <v/>
      </c>
      <c r="Z71" s="3" t="str">
        <f t="shared" si="3"/>
        <v>Outro</v>
      </c>
    </row>
    <row r="72" spans="2:26" ht="15" customHeight="1" x14ac:dyDescent="0.25">
      <c r="B72" s="77" t="str">
        <f>IF('DETALHE GANHOS E GASTOS'!B71&lt;&gt;"",'DETALHE GANHOS E GASTOS'!B71,"")</f>
        <v>6.4.4</v>
      </c>
      <c r="C72" s="48" t="str">
        <f>IF('DETALHE GANHOS E GASTOS'!C71&lt;&gt;"",'DETALHE GANHOS E GASTOS'!C71,"")</f>
        <v>Contas a receber</v>
      </c>
      <c r="D72" s="87">
        <f>IFERROR(INDEX('DETALHE GANHOS E GASTOS'!$C$14:$H$123,MATCH($C72,'DETALHE GANHOS E GASTOS'!$C$14:$C$123,0),4),"")</f>
        <v>0</v>
      </c>
      <c r="E72" s="87">
        <f>IFERROR(INDEX('DETALHE GANHOS E GASTOS'!$C$14:$H$123,MATCH($C72,'DETALHE GANHOS E GASTOS'!$C$14:$C$123,0),5),"")</f>
        <v>0</v>
      </c>
      <c r="F72" s="87">
        <f>IFERROR(INDEX('DETALHE GANHOS E GASTOS'!$C$14:$H$123,MATCH($C72,'DETALHE GANHOS E GASTOS'!$C$14:$C$123,0),6),"")</f>
        <v>0</v>
      </c>
      <c r="G72" s="308"/>
      <c r="H72" s="61" t="str">
        <f t="shared" si="0"/>
        <v/>
      </c>
      <c r="J72" s="144" t="str">
        <f t="shared" si="38"/>
        <v/>
      </c>
      <c r="K72" s="3" t="str">
        <f t="shared" si="41"/>
        <v/>
      </c>
      <c r="L72" s="3" t="str">
        <f t="shared" si="42"/>
        <v/>
      </c>
      <c r="M72" s="3" t="str">
        <f t="shared" si="43"/>
        <v/>
      </c>
      <c r="N72" s="3" t="str">
        <f t="shared" si="44"/>
        <v/>
      </c>
      <c r="O72" s="3" t="str">
        <f t="shared" si="45"/>
        <v/>
      </c>
      <c r="P72" s="3" t="str">
        <f t="shared" si="46"/>
        <v/>
      </c>
      <c r="Q72" s="3" t="str">
        <f t="shared" si="47"/>
        <v/>
      </c>
      <c r="R72" s="3" t="str">
        <f t="shared" si="48"/>
        <v/>
      </c>
      <c r="S72" s="3" t="str">
        <f t="shared" si="49"/>
        <v/>
      </c>
      <c r="T72" s="3" t="str">
        <f t="shared" si="50"/>
        <v/>
      </c>
      <c r="U72" s="3" t="str">
        <f t="shared" si="51"/>
        <v/>
      </c>
      <c r="V72" s="3" t="str">
        <f t="shared" si="52"/>
        <v/>
      </c>
      <c r="W72" s="3" t="str">
        <f t="shared" si="53"/>
        <v/>
      </c>
      <c r="X72" s="3" t="str">
        <f t="shared" si="54"/>
        <v/>
      </c>
      <c r="Y72" s="3" t="str">
        <f t="shared" si="55"/>
        <v/>
      </c>
      <c r="Z72" s="3" t="str">
        <f t="shared" si="3"/>
        <v>Outro</v>
      </c>
    </row>
    <row r="73" spans="2:26" ht="15" customHeight="1" x14ac:dyDescent="0.25">
      <c r="B73" s="77" t="str">
        <f>IF('DETALHE GANHOS E GASTOS'!B72&lt;&gt;"",'DETALHE GANHOS E GASTOS'!B72,"")</f>
        <v/>
      </c>
      <c r="C73" s="48" t="str">
        <f>IF('DETALHE GANHOS E GASTOS'!C72&lt;&gt;"",'DETALHE GANHOS E GASTOS'!C72,"")</f>
        <v/>
      </c>
      <c r="D73" s="87" t="str">
        <f>IFERROR(INDEX('DETALHE GANHOS E GASTOS'!$C$14:$H$123,MATCH($C73,'DETALHE GANHOS E GASTOS'!$C$14:$C$123,0),4),"")</f>
        <v/>
      </c>
      <c r="E73" s="87" t="str">
        <f>IFERROR(INDEX('DETALHE GANHOS E GASTOS'!$C$14:$H$123,MATCH($C73,'DETALHE GANHOS E GASTOS'!$C$14:$C$123,0),5),"")</f>
        <v/>
      </c>
      <c r="F73" s="87" t="str">
        <f>IFERROR(INDEX('DETALHE GANHOS E GASTOS'!$C$14:$H$123,MATCH($C73,'DETALHE GANHOS E GASTOS'!$C$14:$C$123,0),6),"")</f>
        <v/>
      </c>
      <c r="G73" s="308"/>
      <c r="H73" s="61" t="str">
        <f t="shared" si="0"/>
        <v/>
      </c>
      <c r="J73" s="144" t="str">
        <f t="shared" si="38"/>
        <v/>
      </c>
      <c r="K73" s="3" t="str">
        <f t="shared" si="41"/>
        <v/>
      </c>
      <c r="L73" s="3" t="str">
        <f t="shared" si="42"/>
        <v/>
      </c>
      <c r="M73" s="3" t="str">
        <f t="shared" si="43"/>
        <v/>
      </c>
      <c r="N73" s="3" t="str">
        <f t="shared" si="44"/>
        <v/>
      </c>
      <c r="O73" s="3" t="str">
        <f t="shared" si="45"/>
        <v/>
      </c>
      <c r="P73" s="3" t="str">
        <f t="shared" si="46"/>
        <v/>
      </c>
      <c r="Q73" s="3" t="str">
        <f t="shared" si="47"/>
        <v/>
      </c>
      <c r="R73" s="3" t="str">
        <f t="shared" si="48"/>
        <v/>
      </c>
      <c r="S73" s="3" t="str">
        <f t="shared" si="49"/>
        <v/>
      </c>
      <c r="T73" s="3" t="str">
        <f t="shared" si="50"/>
        <v/>
      </c>
      <c r="U73" s="3" t="str">
        <f t="shared" si="51"/>
        <v/>
      </c>
      <c r="V73" s="3" t="str">
        <f t="shared" si="52"/>
        <v/>
      </c>
      <c r="W73" s="3" t="str">
        <f t="shared" si="53"/>
        <v/>
      </c>
      <c r="X73" s="3" t="str">
        <f t="shared" si="54"/>
        <v/>
      </c>
      <c r="Y73" s="3" t="str">
        <f t="shared" si="55"/>
        <v/>
      </c>
      <c r="Z73" s="3" t="str">
        <f t="shared" si="3"/>
        <v>Outro</v>
      </c>
    </row>
    <row r="74" spans="2:26" ht="15" customHeight="1" x14ac:dyDescent="0.25">
      <c r="B74" s="77" t="str">
        <f>IF('DETALHE GANHOS E GASTOS'!B73&lt;&gt;"",'DETALHE GANHOS E GASTOS'!B73,"")</f>
        <v/>
      </c>
      <c r="C74" s="48" t="str">
        <f>IF('DETALHE GANHOS E GASTOS'!C73&lt;&gt;"",'DETALHE GANHOS E GASTOS'!C73,"")</f>
        <v/>
      </c>
      <c r="D74" s="87" t="str">
        <f>IFERROR(INDEX('DETALHE GANHOS E GASTOS'!$C$14:$H$123,MATCH($C74,'DETALHE GANHOS E GASTOS'!$C$14:$C$123,0),4),"")</f>
        <v/>
      </c>
      <c r="E74" s="87" t="str">
        <f>IFERROR(INDEX('DETALHE GANHOS E GASTOS'!$C$14:$H$123,MATCH($C74,'DETALHE GANHOS E GASTOS'!$C$14:$C$123,0),5),"")</f>
        <v/>
      </c>
      <c r="F74" s="87" t="str">
        <f>IFERROR(INDEX('DETALHE GANHOS E GASTOS'!$C$14:$H$123,MATCH($C74,'DETALHE GANHOS E GASTOS'!$C$14:$C$123,0),6),"")</f>
        <v/>
      </c>
      <c r="G74" s="308"/>
      <c r="H74" s="61" t="str">
        <f t="shared" si="0"/>
        <v/>
      </c>
      <c r="J74" s="144" t="str">
        <f t="shared" si="38"/>
        <v/>
      </c>
      <c r="K74" s="3" t="str">
        <f t="shared" si="41"/>
        <v/>
      </c>
      <c r="L74" s="3" t="str">
        <f t="shared" si="42"/>
        <v/>
      </c>
      <c r="M74" s="3" t="str">
        <f t="shared" si="43"/>
        <v/>
      </c>
      <c r="N74" s="3" t="str">
        <f t="shared" si="44"/>
        <v/>
      </c>
      <c r="O74" s="3" t="str">
        <f t="shared" si="45"/>
        <v/>
      </c>
      <c r="P74" s="3" t="str">
        <f t="shared" si="46"/>
        <v/>
      </c>
      <c r="Q74" s="3" t="str">
        <f t="shared" si="47"/>
        <v/>
      </c>
      <c r="R74" s="3" t="str">
        <f t="shared" si="48"/>
        <v/>
      </c>
      <c r="S74" s="3" t="str">
        <f t="shared" si="49"/>
        <v/>
      </c>
      <c r="T74" s="3" t="str">
        <f t="shared" si="50"/>
        <v/>
      </c>
      <c r="U74" s="3" t="str">
        <f t="shared" si="51"/>
        <v/>
      </c>
      <c r="V74" s="3" t="str">
        <f t="shared" si="52"/>
        <v/>
      </c>
      <c r="W74" s="3" t="str">
        <f t="shared" si="53"/>
        <v/>
      </c>
      <c r="X74" s="3" t="str">
        <f t="shared" si="54"/>
        <v/>
      </c>
      <c r="Y74" s="3" t="str">
        <f t="shared" si="55"/>
        <v/>
      </c>
      <c r="Z74" s="3" t="str">
        <f t="shared" si="3"/>
        <v>Outro</v>
      </c>
    </row>
    <row r="75" spans="2:26" ht="15" customHeight="1" x14ac:dyDescent="0.25">
      <c r="B75" s="77" t="str">
        <f>IF('DETALHE GANHOS E GASTOS'!B74&lt;&gt;"",'DETALHE GANHOS E GASTOS'!B74,"")</f>
        <v/>
      </c>
      <c r="C75" s="48" t="str">
        <f>IF('DETALHE GANHOS E GASTOS'!C74&lt;&gt;"",'DETALHE GANHOS E GASTOS'!C74,"")</f>
        <v/>
      </c>
      <c r="D75" s="87" t="str">
        <f>IFERROR(INDEX('DETALHE GANHOS E GASTOS'!$C$14:$H$123,MATCH($C75,'DETALHE GANHOS E GASTOS'!$C$14:$C$123,0),4),"")</f>
        <v/>
      </c>
      <c r="E75" s="87" t="str">
        <f>IFERROR(INDEX('DETALHE GANHOS E GASTOS'!$C$14:$H$123,MATCH($C75,'DETALHE GANHOS E GASTOS'!$C$14:$C$123,0),5),"")</f>
        <v/>
      </c>
      <c r="F75" s="87" t="str">
        <f>IFERROR(INDEX('DETALHE GANHOS E GASTOS'!$C$14:$H$123,MATCH($C75,'DETALHE GANHOS E GASTOS'!$C$14:$C$123,0),6),"")</f>
        <v/>
      </c>
      <c r="G75" s="308"/>
      <c r="H75" s="61" t="str">
        <f t="shared" si="0"/>
        <v/>
      </c>
      <c r="J75" s="144" t="str">
        <f t="shared" si="38"/>
        <v/>
      </c>
      <c r="K75" s="3" t="str">
        <f t="shared" si="41"/>
        <v/>
      </c>
      <c r="L75" s="3" t="str">
        <f t="shared" si="42"/>
        <v/>
      </c>
      <c r="M75" s="3" t="str">
        <f t="shared" si="43"/>
        <v/>
      </c>
      <c r="N75" s="3" t="str">
        <f t="shared" si="44"/>
        <v/>
      </c>
      <c r="O75" s="3" t="str">
        <f t="shared" si="45"/>
        <v/>
      </c>
      <c r="P75" s="3" t="str">
        <f t="shared" si="46"/>
        <v/>
      </c>
      <c r="Q75" s="3" t="str">
        <f t="shared" si="47"/>
        <v/>
      </c>
      <c r="R75" s="3" t="str">
        <f t="shared" si="48"/>
        <v/>
      </c>
      <c r="S75" s="3" t="str">
        <f t="shared" si="49"/>
        <v/>
      </c>
      <c r="T75" s="3" t="str">
        <f t="shared" si="50"/>
        <v/>
      </c>
      <c r="U75" s="3" t="str">
        <f t="shared" si="51"/>
        <v/>
      </c>
      <c r="V75" s="3" t="str">
        <f t="shared" si="52"/>
        <v/>
      </c>
      <c r="W75" s="3" t="str">
        <f t="shared" si="53"/>
        <v/>
      </c>
      <c r="X75" s="3" t="str">
        <f t="shared" si="54"/>
        <v/>
      </c>
      <c r="Y75" s="3" t="str">
        <f t="shared" si="55"/>
        <v/>
      </c>
      <c r="Z75" s="3" t="str">
        <f t="shared" si="3"/>
        <v>Outro</v>
      </c>
    </row>
    <row r="76" spans="2:26" ht="15" customHeight="1" x14ac:dyDescent="0.25">
      <c r="B76" s="73" t="str">
        <f>IF('DETALHE GANHOS E GASTOS'!B75&lt;&gt;"",'DETALHE GANHOS E GASTOS'!B75,"")</f>
        <v>6.5</v>
      </c>
      <c r="C76" s="53" t="str">
        <f>IF('DETALHE GANHOS E GASTOS'!C75&lt;&gt;"",'DETALHE GANHOS E GASTOS'!C75,"")</f>
        <v>AMORTIZAÇÕES DO PERÍODO</v>
      </c>
      <c r="D76" s="211">
        <f>SUM(D77:D82)</f>
        <v>0</v>
      </c>
      <c r="E76" s="211">
        <f t="shared" ref="E76" si="56">SUM(E77:E82)</f>
        <v>0</v>
      </c>
      <c r="F76" s="211">
        <f t="shared" ref="F76:G76" si="57">SUM(F77:F82)</f>
        <v>0</v>
      </c>
      <c r="G76" s="309">
        <f t="shared" si="57"/>
        <v>0</v>
      </c>
      <c r="H76" s="212" t="str">
        <f t="shared" si="0"/>
        <v/>
      </c>
    </row>
    <row r="77" spans="2:26" ht="15" customHeight="1" x14ac:dyDescent="0.25">
      <c r="B77" s="77" t="str">
        <f>IF('DETALHE GANHOS E GASTOS'!B76&lt;&gt;"",'DETALHE GANHOS E GASTOS'!B76,"")</f>
        <v>6.5.1</v>
      </c>
      <c r="C77" s="48" t="str">
        <f>IF('DETALHE GANHOS E GASTOS'!C76&lt;&gt;"",'DETALHE GANHOS E GASTOS'!C76,"")</f>
        <v>Activos tangíveis</v>
      </c>
      <c r="D77" s="87">
        <f>IFERROR(INDEX('DETALHE GANHOS E GASTOS'!$C$14:$H$123,MATCH($C77,'DETALHE GANHOS E GASTOS'!$C$14:$C$123,0),4),"")</f>
        <v>0</v>
      </c>
      <c r="E77" s="87">
        <f>IFERROR(INDEX('DETALHE GANHOS E GASTOS'!$C$14:$H$123,MATCH($C77,'DETALHE GANHOS E GASTOS'!$C$14:$C$123,0),5),"")</f>
        <v>0</v>
      </c>
      <c r="F77" s="87">
        <f>IFERROR(INDEX('DETALHE GANHOS E GASTOS'!$C$14:$H$123,MATCH($C77,'DETALHE GANHOS E GASTOS'!$C$14:$C$123,0),6),"")</f>
        <v>0</v>
      </c>
      <c r="G77" s="308"/>
      <c r="H77" s="61" t="str">
        <f t="shared" ref="H77:H125" si="58">IFERROR(IF(AND(F77&lt;0,G77&lt;=0),-(G77-F77)/F77,IF(AND(F77&lt;0,G77&gt;0),-(G77-F77)/F77,(G77-F77)/F77)),"")</f>
        <v/>
      </c>
      <c r="J77" s="144" t="str">
        <f t="shared" si="38"/>
        <v/>
      </c>
      <c r="K77" s="3" t="str">
        <f t="shared" ref="K77:K82" si="59">IF($J77=MAX(J$16:J$18,J$20:J$30,J$32:J$67,J$69:J$75,J$77:J$82,J$84:J$94,J$96:J$101,J$103:J$113,J$115:J$124),"max1",$J77)</f>
        <v/>
      </c>
      <c r="L77" s="3" t="str">
        <f t="shared" ref="L77:L82" si="60">IF($K77=MAX(K$16:K$18,K$20:K$30,K$32:K$67,K$69:K$75,K$77:K$82,K$84:K$94,K$96:K$101,K$103:K$113,K$115:K$124),"max2",$K77)</f>
        <v/>
      </c>
      <c r="M77" s="3" t="str">
        <f t="shared" ref="M77:M82" si="61">IF($L77=MAX(L$16:L$18,L$20:L$30,L$32:L$67,L$69:L$75,L$77:L$82,L$84:L$94,L$96:L$101,L$103:L$113,L$115:L$124),"max3",$L77)</f>
        <v/>
      </c>
      <c r="N77" s="3" t="str">
        <f t="shared" ref="N77:N82" si="62">IF($M77=MAX(M$16:M$18,M$20:M$30,M$32:M$67,M$69:M$75,M$77:M$82,M$84:M$94,M$96:M$101,M$103:M$113,M$115:M$124),"max4",$M77)</f>
        <v/>
      </c>
      <c r="O77" s="3" t="str">
        <f t="shared" ref="O77:O82" si="63">IF($N77=MAX(N$16:N$18,N$20:N$30,N$32:N$67,N$69:N$75,N$77:N$82,N$84:N$94,N$96:N$101,N$103:N$113,N$115:N$124),"max5",$N77)</f>
        <v/>
      </c>
      <c r="P77" s="3" t="str">
        <f t="shared" ref="P77:P82" si="64">IF($O77=MAX(O$16:O$18,O$20:O$30,O$32:O$67,O$69:O$75,O$77:O$82,O$84:O$94,O$96:O$101,O$103:O$113,O$115:O$124),"max6",$O77)</f>
        <v/>
      </c>
      <c r="Q77" s="3" t="str">
        <f t="shared" ref="Q77:Q82" si="65">IF($P77=MAX(P$16:P$18,P$20:P$30,P$32:P$67,P$69:P$75,P$77:P$82,P$84:P$94,P$96:P$101,P$103:P$113,P$115:P$124),"max7",$P77)</f>
        <v/>
      </c>
      <c r="R77" s="3" t="str">
        <f t="shared" ref="R77:R82" si="66">IF($Q77=MAX(Q$16:Q$18,Q$20:Q$30,Q$32:Q$67,Q$69:Q$75,Q$77:Q$82,Q$84:Q$94,Q$96:Q$101,Q$103:Q$113,Q$115:Q$124),"max8",$Q77)</f>
        <v/>
      </c>
      <c r="S77" s="3" t="str">
        <f t="shared" ref="S77:S82" si="67">IF($R77=MAX(R$16:R$18,R$20:R$30,R$32:R$67,R$69:R$75,R$77:R$82,R$84:R$94,R$96:R$101,R$103:R$113,R$115:R$124),"max9",$R77)</f>
        <v/>
      </c>
      <c r="T77" s="3" t="str">
        <f t="shared" ref="T77:T82" si="68">IF($S77=MAX(S$16:S$18,S$20:S$30,S$32:S$67,S$69:S$75,S$77:S$82,S$84:S$94,S$96:S$101,S$103:S$113,S$115:S$124),"max10",$S77)</f>
        <v/>
      </c>
      <c r="U77" s="3" t="str">
        <f t="shared" ref="U77:U82" si="69">IF($T77=MAX(T$16:T$18,T$20:T$30,T$32:T$67,T$69:T$75,T$77:T$82,T$84:T$94,T$96:T$101,T$103:T$113,T$115:T$124),"max11",$T77)</f>
        <v/>
      </c>
      <c r="V77" s="3" t="str">
        <f t="shared" ref="V77:V82" si="70">IF($U77=MAX(U$16:U$18,U$20:U$30,U$32:U$67,U$69:U$75,U$77:U$82,U$84:U$94,U$96:U$101,U$103:U$113,U$115:U$124),"max12",$U77)</f>
        <v/>
      </c>
      <c r="W77" s="3" t="str">
        <f t="shared" ref="W77:W82" si="71">IF($V77=MAX(V$16:V$18,V$20:V$30,V$32:V$67,V$69:V$75,V$77:V$82,V$84:V$94,V$96:V$101,V$103:V$113,V$115:V$124),"max13",$V77)</f>
        <v/>
      </c>
      <c r="X77" s="3" t="str">
        <f t="shared" ref="X77:X82" si="72">IF($W77=MAX(W$16:W$18,W$20:W$30,W$32:W$67,W$69:W$75,W$77:W$82,W$84:W$94,W$96:W$101,W$103:W$113,W$115:W$124),"max14",$W77)</f>
        <v/>
      </c>
      <c r="Y77" s="3" t="str">
        <f t="shared" ref="Y77:Y82" si="73">IF($X77=MAX(X$16:X$18,X$20:X$30,X$32:X$67,X$69:X$75,X$77:X$82,X$84:X$94,X$96:X$101,X$103:X$113,X$115:X$124),"max15",$X77)</f>
        <v/>
      </c>
      <c r="Z77" s="3" t="str">
        <f t="shared" si="3"/>
        <v>Outro</v>
      </c>
    </row>
    <row r="78" spans="2:26" ht="15" customHeight="1" x14ac:dyDescent="0.25">
      <c r="B78" s="77" t="str">
        <f>IF('DETALHE GANHOS E GASTOS'!B77&lt;&gt;"",'DETALHE GANHOS E GASTOS'!B77,"")</f>
        <v>6.5.2</v>
      </c>
      <c r="C78" s="48" t="str">
        <f>IF('DETALHE GANHOS E GASTOS'!C77&lt;&gt;"",'DETALHE GANHOS E GASTOS'!C77,"")</f>
        <v>Activos intangíveis</v>
      </c>
      <c r="D78" s="87">
        <f>IFERROR(INDEX('DETALHE GANHOS E GASTOS'!$C$14:$H$123,MATCH($C78,'DETALHE GANHOS E GASTOS'!$C$14:$C$123,0),4),"")</f>
        <v>0</v>
      </c>
      <c r="E78" s="87">
        <f>IFERROR(INDEX('DETALHE GANHOS E GASTOS'!$C$14:$H$123,MATCH($C78,'DETALHE GANHOS E GASTOS'!$C$14:$C$123,0),5),"")</f>
        <v>0</v>
      </c>
      <c r="F78" s="87">
        <f>IFERROR(INDEX('DETALHE GANHOS E GASTOS'!$C$14:$H$123,MATCH($C78,'DETALHE GANHOS E GASTOS'!$C$14:$C$123,0),6),"")</f>
        <v>0</v>
      </c>
      <c r="G78" s="308"/>
      <c r="H78" s="61" t="str">
        <f t="shared" si="58"/>
        <v/>
      </c>
      <c r="J78" s="144" t="str">
        <f t="shared" si="38"/>
        <v/>
      </c>
      <c r="K78" s="3" t="str">
        <f t="shared" si="59"/>
        <v/>
      </c>
      <c r="L78" s="3" t="str">
        <f t="shared" si="60"/>
        <v/>
      </c>
      <c r="M78" s="3" t="str">
        <f t="shared" si="61"/>
        <v/>
      </c>
      <c r="N78" s="3" t="str">
        <f t="shared" si="62"/>
        <v/>
      </c>
      <c r="O78" s="3" t="str">
        <f t="shared" si="63"/>
        <v/>
      </c>
      <c r="P78" s="3" t="str">
        <f t="shared" si="64"/>
        <v/>
      </c>
      <c r="Q78" s="3" t="str">
        <f t="shared" si="65"/>
        <v/>
      </c>
      <c r="R78" s="3" t="str">
        <f t="shared" si="66"/>
        <v/>
      </c>
      <c r="S78" s="3" t="str">
        <f t="shared" si="67"/>
        <v/>
      </c>
      <c r="T78" s="3" t="str">
        <f t="shared" si="68"/>
        <v/>
      </c>
      <c r="U78" s="3" t="str">
        <f t="shared" si="69"/>
        <v/>
      </c>
      <c r="V78" s="3" t="str">
        <f t="shared" si="70"/>
        <v/>
      </c>
      <c r="W78" s="3" t="str">
        <f t="shared" si="71"/>
        <v/>
      </c>
      <c r="X78" s="3" t="str">
        <f t="shared" si="72"/>
        <v/>
      </c>
      <c r="Y78" s="3" t="str">
        <f t="shared" si="73"/>
        <v/>
      </c>
      <c r="Z78" s="3" t="str">
        <f t="shared" ref="Z78:Z124" si="74">IF(LEFT(Y78,3)="max",Y78,"Outro")</f>
        <v>Outro</v>
      </c>
    </row>
    <row r="79" spans="2:26" ht="15" customHeight="1" x14ac:dyDescent="0.25">
      <c r="B79" s="77" t="str">
        <f>IF('DETALHE GANHOS E GASTOS'!B78&lt;&gt;"",'DETALHE GANHOS E GASTOS'!B78,"")</f>
        <v>6.5.3</v>
      </c>
      <c r="C79" s="48" t="str">
        <f>IF('DETALHE GANHOS E GASTOS'!C78&lt;&gt;"",'DETALHE GANHOS E GASTOS'!C78,"")</f>
        <v>Activos tangíveis de investimento</v>
      </c>
      <c r="D79" s="87">
        <f>IFERROR(INDEX('DETALHE GANHOS E GASTOS'!$C$14:$H$123,MATCH($C79,'DETALHE GANHOS E GASTOS'!$C$14:$C$123,0),4),"")</f>
        <v>0</v>
      </c>
      <c r="E79" s="87">
        <f>IFERROR(INDEX('DETALHE GANHOS E GASTOS'!$C$14:$H$123,MATCH($C79,'DETALHE GANHOS E GASTOS'!$C$14:$C$123,0),5),"")</f>
        <v>0</v>
      </c>
      <c r="F79" s="87">
        <f>IFERROR(INDEX('DETALHE GANHOS E GASTOS'!$C$14:$H$123,MATCH($C79,'DETALHE GANHOS E GASTOS'!$C$14:$C$123,0),6),"")</f>
        <v>0</v>
      </c>
      <c r="G79" s="308"/>
      <c r="H79" s="61" t="str">
        <f t="shared" si="58"/>
        <v/>
      </c>
      <c r="J79" s="144" t="str">
        <f t="shared" si="38"/>
        <v/>
      </c>
      <c r="K79" s="3" t="str">
        <f t="shared" si="59"/>
        <v/>
      </c>
      <c r="L79" s="3" t="str">
        <f t="shared" si="60"/>
        <v/>
      </c>
      <c r="M79" s="3" t="str">
        <f t="shared" si="61"/>
        <v/>
      </c>
      <c r="N79" s="3" t="str">
        <f t="shared" si="62"/>
        <v/>
      </c>
      <c r="O79" s="3" t="str">
        <f t="shared" si="63"/>
        <v/>
      </c>
      <c r="P79" s="3" t="str">
        <f t="shared" si="64"/>
        <v/>
      </c>
      <c r="Q79" s="3" t="str">
        <f t="shared" si="65"/>
        <v/>
      </c>
      <c r="R79" s="3" t="str">
        <f t="shared" si="66"/>
        <v/>
      </c>
      <c r="S79" s="3" t="str">
        <f t="shared" si="67"/>
        <v/>
      </c>
      <c r="T79" s="3" t="str">
        <f t="shared" si="68"/>
        <v/>
      </c>
      <c r="U79" s="3" t="str">
        <f t="shared" si="69"/>
        <v/>
      </c>
      <c r="V79" s="3" t="str">
        <f t="shared" si="70"/>
        <v/>
      </c>
      <c r="W79" s="3" t="str">
        <f t="shared" si="71"/>
        <v/>
      </c>
      <c r="X79" s="3" t="str">
        <f t="shared" si="72"/>
        <v/>
      </c>
      <c r="Y79" s="3" t="str">
        <f t="shared" si="73"/>
        <v/>
      </c>
      <c r="Z79" s="3" t="str">
        <f t="shared" si="74"/>
        <v>Outro</v>
      </c>
    </row>
    <row r="80" spans="2:26" ht="15" customHeight="1" x14ac:dyDescent="0.25">
      <c r="B80" s="77" t="str">
        <f>IF('DETALHE GANHOS E GASTOS'!B79&lt;&gt;"",'DETALHE GANHOS E GASTOS'!B79,"")</f>
        <v/>
      </c>
      <c r="C80" s="48" t="str">
        <f>IF('DETALHE GANHOS E GASTOS'!C79&lt;&gt;"",'DETALHE GANHOS E GASTOS'!C79,"")</f>
        <v/>
      </c>
      <c r="D80" s="87" t="str">
        <f>IFERROR(INDEX('DETALHE GANHOS E GASTOS'!$C$14:$H$123,MATCH($C80,'DETALHE GANHOS E GASTOS'!$C$14:$C$123,0),4),"")</f>
        <v/>
      </c>
      <c r="E80" s="87" t="str">
        <f>IFERROR(INDEX('DETALHE GANHOS E GASTOS'!$C$14:$H$123,MATCH($C80,'DETALHE GANHOS E GASTOS'!$C$14:$C$123,0),5),"")</f>
        <v/>
      </c>
      <c r="F80" s="87" t="str">
        <f>IFERROR(INDEX('DETALHE GANHOS E GASTOS'!$C$14:$H$123,MATCH($C80,'DETALHE GANHOS E GASTOS'!$C$14:$C$123,0),6),"")</f>
        <v/>
      </c>
      <c r="G80" s="308"/>
      <c r="H80" s="61" t="str">
        <f t="shared" si="58"/>
        <v/>
      </c>
      <c r="J80" s="144" t="str">
        <f t="shared" si="38"/>
        <v/>
      </c>
      <c r="K80" s="3" t="str">
        <f t="shared" si="59"/>
        <v/>
      </c>
      <c r="L80" s="3" t="str">
        <f t="shared" si="60"/>
        <v/>
      </c>
      <c r="M80" s="3" t="str">
        <f t="shared" si="61"/>
        <v/>
      </c>
      <c r="N80" s="3" t="str">
        <f t="shared" si="62"/>
        <v/>
      </c>
      <c r="O80" s="3" t="str">
        <f t="shared" si="63"/>
        <v/>
      </c>
      <c r="P80" s="3" t="str">
        <f t="shared" si="64"/>
        <v/>
      </c>
      <c r="Q80" s="3" t="str">
        <f t="shared" si="65"/>
        <v/>
      </c>
      <c r="R80" s="3" t="str">
        <f t="shared" si="66"/>
        <v/>
      </c>
      <c r="S80" s="3" t="str">
        <f t="shared" si="67"/>
        <v/>
      </c>
      <c r="T80" s="3" t="str">
        <f t="shared" si="68"/>
        <v/>
      </c>
      <c r="U80" s="3" t="str">
        <f t="shared" si="69"/>
        <v/>
      </c>
      <c r="V80" s="3" t="str">
        <f t="shared" si="70"/>
        <v/>
      </c>
      <c r="W80" s="3" t="str">
        <f t="shared" si="71"/>
        <v/>
      </c>
      <c r="X80" s="3" t="str">
        <f t="shared" si="72"/>
        <v/>
      </c>
      <c r="Y80" s="3" t="str">
        <f t="shared" si="73"/>
        <v/>
      </c>
      <c r="Z80" s="3" t="str">
        <f t="shared" si="74"/>
        <v>Outro</v>
      </c>
    </row>
    <row r="81" spans="2:26" ht="15" customHeight="1" x14ac:dyDescent="0.25">
      <c r="B81" s="77" t="str">
        <f>IF('DETALHE GANHOS E GASTOS'!B80&lt;&gt;"",'DETALHE GANHOS E GASTOS'!B80,"")</f>
        <v/>
      </c>
      <c r="C81" s="48" t="str">
        <f>IF('DETALHE GANHOS E GASTOS'!C80&lt;&gt;"",'DETALHE GANHOS E GASTOS'!C80,"")</f>
        <v/>
      </c>
      <c r="D81" s="87" t="str">
        <f>IFERROR(INDEX('DETALHE GANHOS E GASTOS'!$C$14:$H$123,MATCH($C81,'DETALHE GANHOS E GASTOS'!$C$14:$C$123,0),4),"")</f>
        <v/>
      </c>
      <c r="E81" s="87" t="str">
        <f>IFERROR(INDEX('DETALHE GANHOS E GASTOS'!$C$14:$H$123,MATCH($C81,'DETALHE GANHOS E GASTOS'!$C$14:$C$123,0),5),"")</f>
        <v/>
      </c>
      <c r="F81" s="87" t="str">
        <f>IFERROR(INDEX('DETALHE GANHOS E GASTOS'!$C$14:$H$123,MATCH($C81,'DETALHE GANHOS E GASTOS'!$C$14:$C$123,0),6),"")</f>
        <v/>
      </c>
      <c r="G81" s="308"/>
      <c r="H81" s="61" t="str">
        <f t="shared" si="58"/>
        <v/>
      </c>
      <c r="J81" s="144" t="str">
        <f t="shared" si="38"/>
        <v/>
      </c>
      <c r="K81" s="3" t="str">
        <f t="shared" si="59"/>
        <v/>
      </c>
      <c r="L81" s="3" t="str">
        <f t="shared" si="60"/>
        <v/>
      </c>
      <c r="M81" s="3" t="str">
        <f t="shared" si="61"/>
        <v/>
      </c>
      <c r="N81" s="3" t="str">
        <f t="shared" si="62"/>
        <v/>
      </c>
      <c r="O81" s="3" t="str">
        <f t="shared" si="63"/>
        <v/>
      </c>
      <c r="P81" s="3" t="str">
        <f t="shared" si="64"/>
        <v/>
      </c>
      <c r="Q81" s="3" t="str">
        <f t="shared" si="65"/>
        <v/>
      </c>
      <c r="R81" s="3" t="str">
        <f t="shared" si="66"/>
        <v/>
      </c>
      <c r="S81" s="3" t="str">
        <f t="shared" si="67"/>
        <v/>
      </c>
      <c r="T81" s="3" t="str">
        <f t="shared" si="68"/>
        <v/>
      </c>
      <c r="U81" s="3" t="str">
        <f t="shared" si="69"/>
        <v/>
      </c>
      <c r="V81" s="3" t="str">
        <f t="shared" si="70"/>
        <v/>
      </c>
      <c r="W81" s="3" t="str">
        <f t="shared" si="71"/>
        <v/>
      </c>
      <c r="X81" s="3" t="str">
        <f t="shared" si="72"/>
        <v/>
      </c>
      <c r="Y81" s="3" t="str">
        <f t="shared" si="73"/>
        <v/>
      </c>
      <c r="Z81" s="3" t="str">
        <f t="shared" si="74"/>
        <v>Outro</v>
      </c>
    </row>
    <row r="82" spans="2:26" ht="15" customHeight="1" x14ac:dyDescent="0.25">
      <c r="B82" s="77" t="str">
        <f>IF('DETALHE GANHOS E GASTOS'!B81&lt;&gt;"",'DETALHE GANHOS E GASTOS'!B81,"")</f>
        <v/>
      </c>
      <c r="C82" s="48" t="str">
        <f>IF('DETALHE GANHOS E GASTOS'!C81&lt;&gt;"",'DETALHE GANHOS E GASTOS'!C81,"")</f>
        <v/>
      </c>
      <c r="D82" s="87" t="str">
        <f>IFERROR(INDEX('DETALHE GANHOS E GASTOS'!$C$14:$H$123,MATCH($C82,'DETALHE GANHOS E GASTOS'!$C$14:$C$123,0),4),"")</f>
        <v/>
      </c>
      <c r="E82" s="87" t="str">
        <f>IFERROR(INDEX('DETALHE GANHOS E GASTOS'!$C$14:$H$123,MATCH($C82,'DETALHE GANHOS E GASTOS'!$C$14:$C$123,0),5),"")</f>
        <v/>
      </c>
      <c r="F82" s="87" t="str">
        <f>IFERROR(INDEX('DETALHE GANHOS E GASTOS'!$C$14:$H$123,MATCH($C82,'DETALHE GANHOS E GASTOS'!$C$14:$C$123,0),6),"")</f>
        <v/>
      </c>
      <c r="G82" s="308"/>
      <c r="H82" s="61" t="str">
        <f t="shared" si="58"/>
        <v/>
      </c>
      <c r="J82" s="144" t="str">
        <f t="shared" si="38"/>
        <v/>
      </c>
      <c r="K82" s="3" t="str">
        <f t="shared" si="59"/>
        <v/>
      </c>
      <c r="L82" s="3" t="str">
        <f t="shared" si="60"/>
        <v/>
      </c>
      <c r="M82" s="3" t="str">
        <f t="shared" si="61"/>
        <v/>
      </c>
      <c r="N82" s="3" t="str">
        <f t="shared" si="62"/>
        <v/>
      </c>
      <c r="O82" s="3" t="str">
        <f t="shared" si="63"/>
        <v/>
      </c>
      <c r="P82" s="3" t="str">
        <f t="shared" si="64"/>
        <v/>
      </c>
      <c r="Q82" s="3" t="str">
        <f t="shared" si="65"/>
        <v/>
      </c>
      <c r="R82" s="3" t="str">
        <f t="shared" si="66"/>
        <v/>
      </c>
      <c r="S82" s="3" t="str">
        <f t="shared" si="67"/>
        <v/>
      </c>
      <c r="T82" s="3" t="str">
        <f t="shared" si="68"/>
        <v/>
      </c>
      <c r="U82" s="3" t="str">
        <f t="shared" si="69"/>
        <v/>
      </c>
      <c r="V82" s="3" t="str">
        <f t="shared" si="70"/>
        <v/>
      </c>
      <c r="W82" s="3" t="str">
        <f t="shared" si="71"/>
        <v/>
      </c>
      <c r="X82" s="3" t="str">
        <f t="shared" si="72"/>
        <v/>
      </c>
      <c r="Y82" s="3" t="str">
        <f t="shared" si="73"/>
        <v/>
      </c>
      <c r="Z82" s="3" t="str">
        <f t="shared" si="74"/>
        <v>Outro</v>
      </c>
    </row>
    <row r="83" spans="2:26" ht="15" customHeight="1" x14ac:dyDescent="0.25">
      <c r="B83" s="73" t="str">
        <f>IF('DETALHE GANHOS E GASTOS'!B82&lt;&gt;"",'DETALHE GANHOS E GASTOS'!B82,"")</f>
        <v>6.6</v>
      </c>
      <c r="C83" s="53" t="str">
        <f>IF('DETALHE GANHOS E GASTOS'!C82&lt;&gt;"",'DETALHE GANHOS E GASTOS'!C82,"")</f>
        <v>PROVISÕES DO PERÍODO</v>
      </c>
      <c r="D83" s="211">
        <f>SUM(D84:D94)</f>
        <v>0</v>
      </c>
      <c r="E83" s="211">
        <f t="shared" ref="E83" si="75">SUM(E84:E94)</f>
        <v>0</v>
      </c>
      <c r="F83" s="211">
        <f t="shared" ref="F83:G83" si="76">SUM(F84:F94)</f>
        <v>0</v>
      </c>
      <c r="G83" s="309">
        <f t="shared" si="76"/>
        <v>0</v>
      </c>
      <c r="H83" s="212" t="str">
        <f t="shared" si="58"/>
        <v/>
      </c>
    </row>
    <row r="84" spans="2:26" ht="15" customHeight="1" x14ac:dyDescent="0.25">
      <c r="B84" s="77" t="str">
        <f>IF('DETALHE GANHOS E GASTOS'!B83&lt;&gt;"",'DETALHE GANHOS E GASTOS'!B83,"")</f>
        <v>6.6.1</v>
      </c>
      <c r="C84" s="48" t="str">
        <f>IF('DETALHE GANHOS E GASTOS'!C83&lt;&gt;"",'DETALHE GANHOS E GASTOS'!C83,"")</f>
        <v>Processos judiciais em curso</v>
      </c>
      <c r="D84" s="87">
        <f>IFERROR(INDEX('DETALHE GANHOS E GASTOS'!$C$14:$H$123,MATCH($C84,'DETALHE GANHOS E GASTOS'!$C$14:$C$123,0),4),"")</f>
        <v>0</v>
      </c>
      <c r="E84" s="87">
        <f>IFERROR(INDEX('DETALHE GANHOS E GASTOS'!$C$14:$H$123,MATCH($C84,'DETALHE GANHOS E GASTOS'!$C$14:$C$123,0),5),"")</f>
        <v>0</v>
      </c>
      <c r="F84" s="87">
        <f>IFERROR(INDEX('DETALHE GANHOS E GASTOS'!$C$14:$H$123,MATCH($C84,'DETALHE GANHOS E GASTOS'!$C$14:$C$123,0),6),"")</f>
        <v>0</v>
      </c>
      <c r="G84" s="308"/>
      <c r="H84" s="61" t="str">
        <f t="shared" si="58"/>
        <v/>
      </c>
      <c r="J84" s="144" t="str">
        <f t="shared" si="38"/>
        <v/>
      </c>
      <c r="K84" s="3" t="str">
        <f t="shared" ref="K84:K94" si="77">IF($J84=MAX(J$16:J$18,J$20:J$30,J$32:J$67,J$69:J$75,J$77:J$82,J$84:J$94,J$96:J$101,J$103:J$113,J$115:J$124),"max1",$J84)</f>
        <v/>
      </c>
      <c r="L84" s="3" t="str">
        <f t="shared" ref="L84:L94" si="78">IF($K84=MAX(K$16:K$18,K$20:K$30,K$32:K$67,K$69:K$75,K$77:K$82,K$84:K$94,K$96:K$101,K$103:K$113,K$115:K$124),"max2",$K84)</f>
        <v/>
      </c>
      <c r="M84" s="3" t="str">
        <f t="shared" ref="M84:M94" si="79">IF($L84=MAX(L$16:L$18,L$20:L$30,L$32:L$67,L$69:L$75,L$77:L$82,L$84:L$94,L$96:L$101,L$103:L$113,L$115:L$124),"max3",$L84)</f>
        <v/>
      </c>
      <c r="N84" s="3" t="str">
        <f t="shared" ref="N84:N94" si="80">IF($M84=MAX(M$16:M$18,M$20:M$30,M$32:M$67,M$69:M$75,M$77:M$82,M$84:M$94,M$96:M$101,M$103:M$113,M$115:M$124),"max4",$M84)</f>
        <v/>
      </c>
      <c r="O84" s="3" t="str">
        <f t="shared" ref="O84:O94" si="81">IF($N84=MAX(N$16:N$18,N$20:N$30,N$32:N$67,N$69:N$75,N$77:N$82,N$84:N$94,N$96:N$101,N$103:N$113,N$115:N$124),"max5",$N84)</f>
        <v/>
      </c>
      <c r="P84" s="3" t="str">
        <f t="shared" ref="P84:P94" si="82">IF($O84=MAX(O$16:O$18,O$20:O$30,O$32:O$67,O$69:O$75,O$77:O$82,O$84:O$94,O$96:O$101,O$103:O$113,O$115:O$124),"max6",$O84)</f>
        <v/>
      </c>
      <c r="Q84" s="3" t="str">
        <f t="shared" ref="Q84:Q94" si="83">IF($P84=MAX(P$16:P$18,P$20:P$30,P$32:P$67,P$69:P$75,P$77:P$82,P$84:P$94,P$96:P$101,P$103:P$113,P$115:P$124),"max7",$P84)</f>
        <v/>
      </c>
      <c r="R84" s="3" t="str">
        <f t="shared" ref="R84:R94" si="84">IF($Q84=MAX(Q$16:Q$18,Q$20:Q$30,Q$32:Q$67,Q$69:Q$75,Q$77:Q$82,Q$84:Q$94,Q$96:Q$101,Q$103:Q$113,Q$115:Q$124),"max8",$Q84)</f>
        <v/>
      </c>
      <c r="S84" s="3" t="str">
        <f t="shared" ref="S84:S94" si="85">IF($R84=MAX(R$16:R$18,R$20:R$30,R$32:R$67,R$69:R$75,R$77:R$82,R$84:R$94,R$96:R$101,R$103:R$113,R$115:R$124),"max9",$R84)</f>
        <v/>
      </c>
      <c r="T84" s="3" t="str">
        <f t="shared" ref="T84:T94" si="86">IF($S84=MAX(S$16:S$18,S$20:S$30,S$32:S$67,S$69:S$75,S$77:S$82,S$84:S$94,S$96:S$101,S$103:S$113,S$115:S$124),"max10",$S84)</f>
        <v/>
      </c>
      <c r="U84" s="3" t="str">
        <f t="shared" ref="U84:U94" si="87">IF($T84=MAX(T$16:T$18,T$20:T$30,T$32:T$67,T$69:T$75,T$77:T$82,T$84:T$94,T$96:T$101,T$103:T$113,T$115:T$124),"max11",$T84)</f>
        <v/>
      </c>
      <c r="V84" s="3" t="str">
        <f t="shared" ref="V84:V94" si="88">IF($U84=MAX(U$16:U$18,U$20:U$30,U$32:U$67,U$69:U$75,U$77:U$82,U$84:U$94,U$96:U$101,U$103:U$113,U$115:U$124),"max12",$U84)</f>
        <v/>
      </c>
      <c r="W84" s="3" t="str">
        <f t="shared" ref="W84:W94" si="89">IF($V84=MAX(V$16:V$18,V$20:V$30,V$32:V$67,V$69:V$75,V$77:V$82,V$84:V$94,V$96:V$101,V$103:V$113,V$115:V$124),"max13",$V84)</f>
        <v/>
      </c>
      <c r="X84" s="3" t="str">
        <f t="shared" ref="X84:X94" si="90">IF($W84=MAX(W$16:W$18,W$20:W$30,W$32:W$67,W$69:W$75,W$77:W$82,W$84:W$94,W$96:W$101,W$103:W$113,W$115:W$124),"max14",$W84)</f>
        <v/>
      </c>
      <c r="Y84" s="3" t="str">
        <f t="shared" ref="Y84:Y94" si="91">IF($X84=MAX(X$16:X$18,X$20:X$30,X$32:X$67,X$69:X$75,X$77:X$82,X$84:X$94,X$96:X$101,X$103:X$113,X$115:X$124),"max15",$X84)</f>
        <v/>
      </c>
      <c r="Z84" s="3" t="str">
        <f t="shared" si="74"/>
        <v>Outro</v>
      </c>
    </row>
    <row r="85" spans="2:26" ht="15" customHeight="1" x14ac:dyDescent="0.25">
      <c r="B85" s="77" t="str">
        <f>IF('DETALHE GANHOS E GASTOS'!B84&lt;&gt;"",'DETALHE GANHOS E GASTOS'!B84,"")</f>
        <v>6.6.2</v>
      </c>
      <c r="C85" s="48" t="str">
        <f>IF('DETALHE GANHOS E GASTOS'!C84&lt;&gt;"",'DETALHE GANHOS E GASTOS'!C84,"")</f>
        <v>Acidentes no trabalho e doenças profissionais</v>
      </c>
      <c r="D85" s="87">
        <f>IFERROR(INDEX('DETALHE GANHOS E GASTOS'!$C$14:$H$123,MATCH($C85,'DETALHE GANHOS E GASTOS'!$C$14:$C$123,0),4),"")</f>
        <v>0</v>
      </c>
      <c r="E85" s="87">
        <f>IFERROR(INDEX('DETALHE GANHOS E GASTOS'!$C$14:$H$123,MATCH($C85,'DETALHE GANHOS E GASTOS'!$C$14:$C$123,0),5),"")</f>
        <v>0</v>
      </c>
      <c r="F85" s="87">
        <f>IFERROR(INDEX('DETALHE GANHOS E GASTOS'!$C$14:$H$123,MATCH($C85,'DETALHE GANHOS E GASTOS'!$C$14:$C$123,0),6),"")</f>
        <v>0</v>
      </c>
      <c r="G85" s="308"/>
      <c r="H85" s="61" t="str">
        <f t="shared" si="58"/>
        <v/>
      </c>
      <c r="J85" s="144" t="str">
        <f t="shared" si="38"/>
        <v/>
      </c>
      <c r="K85" s="3" t="str">
        <f t="shared" si="77"/>
        <v/>
      </c>
      <c r="L85" s="3" t="str">
        <f t="shared" si="78"/>
        <v/>
      </c>
      <c r="M85" s="3" t="str">
        <f t="shared" si="79"/>
        <v/>
      </c>
      <c r="N85" s="3" t="str">
        <f t="shared" si="80"/>
        <v/>
      </c>
      <c r="O85" s="3" t="str">
        <f t="shared" si="81"/>
        <v/>
      </c>
      <c r="P85" s="3" t="str">
        <f t="shared" si="82"/>
        <v/>
      </c>
      <c r="Q85" s="3" t="str">
        <f t="shared" si="83"/>
        <v/>
      </c>
      <c r="R85" s="3" t="str">
        <f t="shared" si="84"/>
        <v/>
      </c>
      <c r="S85" s="3" t="str">
        <f t="shared" si="85"/>
        <v/>
      </c>
      <c r="T85" s="3" t="str">
        <f t="shared" si="86"/>
        <v/>
      </c>
      <c r="U85" s="3" t="str">
        <f t="shared" si="87"/>
        <v/>
      </c>
      <c r="V85" s="3" t="str">
        <f t="shared" si="88"/>
        <v/>
      </c>
      <c r="W85" s="3" t="str">
        <f t="shared" si="89"/>
        <v/>
      </c>
      <c r="X85" s="3" t="str">
        <f t="shared" si="90"/>
        <v/>
      </c>
      <c r="Y85" s="3" t="str">
        <f t="shared" si="91"/>
        <v/>
      </c>
      <c r="Z85" s="3" t="str">
        <f t="shared" si="74"/>
        <v>Outro</v>
      </c>
    </row>
    <row r="86" spans="2:26" ht="15" customHeight="1" x14ac:dyDescent="0.25">
      <c r="B86" s="77" t="str">
        <f>IF('DETALHE GANHOS E GASTOS'!B85&lt;&gt;"",'DETALHE GANHOS E GASTOS'!B85,"")</f>
        <v>6.6.3</v>
      </c>
      <c r="C86" s="48" t="str">
        <f>IF('DETALHE GANHOS E GASTOS'!C85&lt;&gt;"",'DETALHE GANHOS E GASTOS'!C85,"")</f>
        <v>Impostos</v>
      </c>
      <c r="D86" s="87">
        <f>IFERROR(INDEX('DETALHE GANHOS E GASTOS'!$C$14:$H$123,MATCH($C86,'DETALHE GANHOS E GASTOS'!$C$14:$C$123,0),4),"")</f>
        <v>0</v>
      </c>
      <c r="E86" s="87">
        <f>IFERROR(INDEX('DETALHE GANHOS E GASTOS'!$C$14:$H$123,MATCH($C86,'DETALHE GANHOS E GASTOS'!$C$14:$C$123,0),5),"")</f>
        <v>0</v>
      </c>
      <c r="F86" s="87">
        <f>IFERROR(INDEX('DETALHE GANHOS E GASTOS'!$C$14:$H$123,MATCH($C86,'DETALHE GANHOS E GASTOS'!$C$14:$C$123,0),6),"")</f>
        <v>0</v>
      </c>
      <c r="G86" s="308"/>
      <c r="H86" s="61" t="str">
        <f t="shared" si="58"/>
        <v/>
      </c>
      <c r="J86" s="144" t="str">
        <f t="shared" si="38"/>
        <v/>
      </c>
      <c r="K86" s="3" t="str">
        <f t="shared" si="77"/>
        <v/>
      </c>
      <c r="L86" s="3" t="str">
        <f t="shared" si="78"/>
        <v/>
      </c>
      <c r="M86" s="3" t="str">
        <f t="shared" si="79"/>
        <v/>
      </c>
      <c r="N86" s="3" t="str">
        <f t="shared" si="80"/>
        <v/>
      </c>
      <c r="O86" s="3" t="str">
        <f t="shared" si="81"/>
        <v/>
      </c>
      <c r="P86" s="3" t="str">
        <f t="shared" si="82"/>
        <v/>
      </c>
      <c r="Q86" s="3" t="str">
        <f t="shared" si="83"/>
        <v/>
      </c>
      <c r="R86" s="3" t="str">
        <f t="shared" si="84"/>
        <v/>
      </c>
      <c r="S86" s="3" t="str">
        <f t="shared" si="85"/>
        <v/>
      </c>
      <c r="T86" s="3" t="str">
        <f t="shared" si="86"/>
        <v/>
      </c>
      <c r="U86" s="3" t="str">
        <f t="shared" si="87"/>
        <v/>
      </c>
      <c r="V86" s="3" t="str">
        <f t="shared" si="88"/>
        <v/>
      </c>
      <c r="W86" s="3" t="str">
        <f t="shared" si="89"/>
        <v/>
      </c>
      <c r="X86" s="3" t="str">
        <f t="shared" si="90"/>
        <v/>
      </c>
      <c r="Y86" s="3" t="str">
        <f t="shared" si="91"/>
        <v/>
      </c>
      <c r="Z86" s="3" t="str">
        <f t="shared" si="74"/>
        <v>Outro</v>
      </c>
    </row>
    <row r="87" spans="2:26" ht="15" customHeight="1" x14ac:dyDescent="0.25">
      <c r="B87" s="77" t="str">
        <f>IF('DETALHE GANHOS E GASTOS'!B86&lt;&gt;"",'DETALHE GANHOS E GASTOS'!B86,"")</f>
        <v>6.6.4</v>
      </c>
      <c r="C87" s="48" t="str">
        <f>IF('DETALHE GANHOS E GASTOS'!C86&lt;&gt;"",'DETALHE GANHOS E GASTOS'!C86,"")</f>
        <v>Reestruturacao de negócios</v>
      </c>
      <c r="D87" s="87">
        <f>IFERROR(INDEX('DETALHE GANHOS E GASTOS'!$C$14:$H$123,MATCH($C87,'DETALHE GANHOS E GASTOS'!$C$14:$C$123,0),4),"")</f>
        <v>0</v>
      </c>
      <c r="E87" s="87">
        <f>IFERROR(INDEX('DETALHE GANHOS E GASTOS'!$C$14:$H$123,MATCH($C87,'DETALHE GANHOS E GASTOS'!$C$14:$C$123,0),5),"")</f>
        <v>0</v>
      </c>
      <c r="F87" s="87">
        <f>IFERROR(INDEX('DETALHE GANHOS E GASTOS'!$C$14:$H$123,MATCH($C87,'DETALHE GANHOS E GASTOS'!$C$14:$C$123,0),6),"")</f>
        <v>0</v>
      </c>
      <c r="G87" s="308"/>
      <c r="H87" s="61" t="str">
        <f t="shared" si="58"/>
        <v/>
      </c>
      <c r="J87" s="144" t="str">
        <f t="shared" si="38"/>
        <v/>
      </c>
      <c r="K87" s="3" t="str">
        <f t="shared" si="77"/>
        <v/>
      </c>
      <c r="L87" s="3" t="str">
        <f t="shared" si="78"/>
        <v/>
      </c>
      <c r="M87" s="3" t="str">
        <f t="shared" si="79"/>
        <v/>
      </c>
      <c r="N87" s="3" t="str">
        <f t="shared" si="80"/>
        <v/>
      </c>
      <c r="O87" s="3" t="str">
        <f t="shared" si="81"/>
        <v/>
      </c>
      <c r="P87" s="3" t="str">
        <f t="shared" si="82"/>
        <v/>
      </c>
      <c r="Q87" s="3" t="str">
        <f t="shared" si="83"/>
        <v/>
      </c>
      <c r="R87" s="3" t="str">
        <f t="shared" si="84"/>
        <v/>
      </c>
      <c r="S87" s="3" t="str">
        <f t="shared" si="85"/>
        <v/>
      </c>
      <c r="T87" s="3" t="str">
        <f t="shared" si="86"/>
        <v/>
      </c>
      <c r="U87" s="3" t="str">
        <f t="shared" si="87"/>
        <v/>
      </c>
      <c r="V87" s="3" t="str">
        <f t="shared" si="88"/>
        <v/>
      </c>
      <c r="W87" s="3" t="str">
        <f t="shared" si="89"/>
        <v/>
      </c>
      <c r="X87" s="3" t="str">
        <f t="shared" si="90"/>
        <v/>
      </c>
      <c r="Y87" s="3" t="str">
        <f t="shared" si="91"/>
        <v/>
      </c>
      <c r="Z87" s="3" t="str">
        <f t="shared" si="74"/>
        <v>Outro</v>
      </c>
    </row>
    <row r="88" spans="2:26" ht="15" customHeight="1" x14ac:dyDescent="0.25">
      <c r="B88" s="77" t="str">
        <f>IF('DETALHE GANHOS E GASTOS'!B87&lt;&gt;"",'DETALHE GANHOS E GASTOS'!B87,"")</f>
        <v>6.6.5</v>
      </c>
      <c r="C88" s="48" t="str">
        <f>IF('DETALHE GANHOS E GASTOS'!C87&lt;&gt;"",'DETALHE GANHOS E GASTOS'!C87,"")</f>
        <v>Contractos onerosos</v>
      </c>
      <c r="D88" s="87">
        <f>IFERROR(INDEX('DETALHE GANHOS E GASTOS'!$C$14:$H$123,MATCH($C88,'DETALHE GANHOS E GASTOS'!$C$14:$C$123,0),4),"")</f>
        <v>0</v>
      </c>
      <c r="E88" s="87">
        <f>IFERROR(INDEX('DETALHE GANHOS E GASTOS'!$C$14:$H$123,MATCH($C88,'DETALHE GANHOS E GASTOS'!$C$14:$C$123,0),5),"")</f>
        <v>0</v>
      </c>
      <c r="F88" s="87">
        <f>IFERROR(INDEX('DETALHE GANHOS E GASTOS'!$C$14:$H$123,MATCH($C88,'DETALHE GANHOS E GASTOS'!$C$14:$C$123,0),6),"")</f>
        <v>0</v>
      </c>
      <c r="G88" s="308"/>
      <c r="H88" s="61" t="str">
        <f t="shared" si="58"/>
        <v/>
      </c>
      <c r="J88" s="144" t="str">
        <f t="shared" si="38"/>
        <v/>
      </c>
      <c r="K88" s="3" t="str">
        <f t="shared" si="77"/>
        <v/>
      </c>
      <c r="L88" s="3" t="str">
        <f t="shared" si="78"/>
        <v/>
      </c>
      <c r="M88" s="3" t="str">
        <f t="shared" si="79"/>
        <v/>
      </c>
      <c r="N88" s="3" t="str">
        <f t="shared" si="80"/>
        <v/>
      </c>
      <c r="O88" s="3" t="str">
        <f t="shared" si="81"/>
        <v/>
      </c>
      <c r="P88" s="3" t="str">
        <f t="shared" si="82"/>
        <v/>
      </c>
      <c r="Q88" s="3" t="str">
        <f t="shared" si="83"/>
        <v/>
      </c>
      <c r="R88" s="3" t="str">
        <f t="shared" si="84"/>
        <v/>
      </c>
      <c r="S88" s="3" t="str">
        <f t="shared" si="85"/>
        <v/>
      </c>
      <c r="T88" s="3" t="str">
        <f t="shared" si="86"/>
        <v/>
      </c>
      <c r="U88" s="3" t="str">
        <f t="shared" si="87"/>
        <v/>
      </c>
      <c r="V88" s="3" t="str">
        <f t="shared" si="88"/>
        <v/>
      </c>
      <c r="W88" s="3" t="str">
        <f t="shared" si="89"/>
        <v/>
      </c>
      <c r="X88" s="3" t="str">
        <f t="shared" si="90"/>
        <v/>
      </c>
      <c r="Y88" s="3" t="str">
        <f t="shared" si="91"/>
        <v/>
      </c>
      <c r="Z88" s="3" t="str">
        <f t="shared" si="74"/>
        <v>Outro</v>
      </c>
    </row>
    <row r="89" spans="2:26" ht="15" customHeight="1" x14ac:dyDescent="0.25">
      <c r="B89" s="77" t="str">
        <f>IF('DETALHE GANHOS E GASTOS'!B88&lt;&gt;"",'DETALHE GANHOS E GASTOS'!B88,"")</f>
        <v>6.6.6</v>
      </c>
      <c r="C89" s="48" t="str">
        <f>IF('DETALHE GANHOS E GASTOS'!C88&lt;&gt;"",'DETALHE GANHOS E GASTOS'!C88,"")</f>
        <v>Garantias a clientes</v>
      </c>
      <c r="D89" s="87">
        <f>IFERROR(INDEX('DETALHE GANHOS E GASTOS'!$C$14:$H$123,MATCH($C89,'DETALHE GANHOS E GASTOS'!$C$14:$C$123,0),4),"")</f>
        <v>0</v>
      </c>
      <c r="E89" s="87">
        <f>IFERROR(INDEX('DETALHE GANHOS E GASTOS'!$C$14:$H$123,MATCH($C89,'DETALHE GANHOS E GASTOS'!$C$14:$C$123,0),5),"")</f>
        <v>0</v>
      </c>
      <c r="F89" s="87">
        <f>IFERROR(INDEX('DETALHE GANHOS E GASTOS'!$C$14:$H$123,MATCH($C89,'DETALHE GANHOS E GASTOS'!$C$14:$C$123,0),6),"")</f>
        <v>0</v>
      </c>
      <c r="G89" s="308"/>
      <c r="H89" s="61" t="str">
        <f t="shared" si="58"/>
        <v/>
      </c>
      <c r="J89" s="144" t="str">
        <f t="shared" si="38"/>
        <v/>
      </c>
      <c r="K89" s="3" t="str">
        <f t="shared" si="77"/>
        <v/>
      </c>
      <c r="L89" s="3" t="str">
        <f t="shared" si="78"/>
        <v/>
      </c>
      <c r="M89" s="3" t="str">
        <f t="shared" si="79"/>
        <v/>
      </c>
      <c r="N89" s="3" t="str">
        <f t="shared" si="80"/>
        <v/>
      </c>
      <c r="O89" s="3" t="str">
        <f t="shared" si="81"/>
        <v/>
      </c>
      <c r="P89" s="3" t="str">
        <f t="shared" si="82"/>
        <v/>
      </c>
      <c r="Q89" s="3" t="str">
        <f t="shared" si="83"/>
        <v/>
      </c>
      <c r="R89" s="3" t="str">
        <f t="shared" si="84"/>
        <v/>
      </c>
      <c r="S89" s="3" t="str">
        <f t="shared" si="85"/>
        <v/>
      </c>
      <c r="T89" s="3" t="str">
        <f t="shared" si="86"/>
        <v/>
      </c>
      <c r="U89" s="3" t="str">
        <f t="shared" si="87"/>
        <v/>
      </c>
      <c r="V89" s="3" t="str">
        <f t="shared" si="88"/>
        <v/>
      </c>
      <c r="W89" s="3" t="str">
        <f t="shared" si="89"/>
        <v/>
      </c>
      <c r="X89" s="3" t="str">
        <f t="shared" si="90"/>
        <v/>
      </c>
      <c r="Y89" s="3" t="str">
        <f t="shared" si="91"/>
        <v/>
      </c>
      <c r="Z89" s="3" t="str">
        <f t="shared" si="74"/>
        <v>Outro</v>
      </c>
    </row>
    <row r="90" spans="2:26" ht="15" customHeight="1" x14ac:dyDescent="0.25">
      <c r="B90" s="77" t="str">
        <f>IF('DETALHE GANHOS E GASTOS'!B89&lt;&gt;"",'DETALHE GANHOS E GASTOS'!B89,"")</f>
        <v>6.6.7</v>
      </c>
      <c r="C90" s="48" t="str">
        <f>IF('DETALHE GANHOS E GASTOS'!C89&lt;&gt;"",'DETALHE GANHOS E GASTOS'!C89,"")</f>
        <v>Perdas em contratos de construção</v>
      </c>
      <c r="D90" s="87">
        <f>IFERROR(INDEX('DETALHE GANHOS E GASTOS'!$C$14:$H$123,MATCH($C90,'DETALHE GANHOS E GASTOS'!$C$14:$C$123,0),4),"")</f>
        <v>0</v>
      </c>
      <c r="E90" s="87">
        <f>IFERROR(INDEX('DETALHE GANHOS E GASTOS'!$C$14:$H$123,MATCH($C90,'DETALHE GANHOS E GASTOS'!$C$14:$C$123,0),5),"")</f>
        <v>0</v>
      </c>
      <c r="F90" s="87">
        <f>IFERROR(INDEX('DETALHE GANHOS E GASTOS'!$C$14:$H$123,MATCH($C90,'DETALHE GANHOS E GASTOS'!$C$14:$C$123,0),6),"")</f>
        <v>0</v>
      </c>
      <c r="G90" s="308"/>
      <c r="H90" s="61" t="str">
        <f t="shared" si="58"/>
        <v/>
      </c>
      <c r="J90" s="144" t="str">
        <f t="shared" si="38"/>
        <v/>
      </c>
      <c r="K90" s="3" t="str">
        <f t="shared" si="77"/>
        <v/>
      </c>
      <c r="L90" s="3" t="str">
        <f t="shared" si="78"/>
        <v/>
      </c>
      <c r="M90" s="3" t="str">
        <f t="shared" si="79"/>
        <v/>
      </c>
      <c r="N90" s="3" t="str">
        <f t="shared" si="80"/>
        <v/>
      </c>
      <c r="O90" s="3" t="str">
        <f t="shared" si="81"/>
        <v/>
      </c>
      <c r="P90" s="3" t="str">
        <f t="shared" si="82"/>
        <v/>
      </c>
      <c r="Q90" s="3" t="str">
        <f t="shared" si="83"/>
        <v/>
      </c>
      <c r="R90" s="3" t="str">
        <f t="shared" si="84"/>
        <v/>
      </c>
      <c r="S90" s="3" t="str">
        <f t="shared" si="85"/>
        <v/>
      </c>
      <c r="T90" s="3" t="str">
        <f t="shared" si="86"/>
        <v/>
      </c>
      <c r="U90" s="3" t="str">
        <f t="shared" si="87"/>
        <v/>
      </c>
      <c r="V90" s="3" t="str">
        <f t="shared" si="88"/>
        <v/>
      </c>
      <c r="W90" s="3" t="str">
        <f t="shared" si="89"/>
        <v/>
      </c>
      <c r="X90" s="3" t="str">
        <f t="shared" si="90"/>
        <v/>
      </c>
      <c r="Y90" s="3" t="str">
        <f t="shared" si="91"/>
        <v/>
      </c>
      <c r="Z90" s="3" t="str">
        <f t="shared" si="74"/>
        <v>Outro</v>
      </c>
    </row>
    <row r="91" spans="2:26" ht="15" customHeight="1" x14ac:dyDescent="0.25">
      <c r="B91" s="77" t="str">
        <f>IF('DETALHE GANHOS E GASTOS'!B90&lt;&gt;"",'DETALHE GANHOS E GASTOS'!B90,"")</f>
        <v>6.9.8</v>
      </c>
      <c r="C91" s="48" t="str">
        <f>IF('DETALHE GANHOS E GASTOS'!C90&lt;&gt;"",'DETALHE GANHOS E GASTOS'!C90,"")</f>
        <v/>
      </c>
      <c r="D91" s="87" t="str">
        <f>IFERROR(INDEX('DETALHE GANHOS E GASTOS'!$C$14:$H$123,MATCH($C91,'DETALHE GANHOS E GASTOS'!$C$14:$C$123,0),4),"")</f>
        <v/>
      </c>
      <c r="E91" s="87" t="str">
        <f>IFERROR(INDEX('DETALHE GANHOS E GASTOS'!$C$14:$H$123,MATCH($C91,'DETALHE GANHOS E GASTOS'!$C$14:$C$123,0),5),"")</f>
        <v/>
      </c>
      <c r="F91" s="87" t="str">
        <f>IFERROR(INDEX('DETALHE GANHOS E GASTOS'!$C$14:$H$123,MATCH($C91,'DETALHE GANHOS E GASTOS'!$C$14:$C$123,0),6),"")</f>
        <v/>
      </c>
      <c r="G91" s="308"/>
      <c r="H91" s="61" t="str">
        <f t="shared" si="58"/>
        <v/>
      </c>
      <c r="J91" s="144" t="str">
        <f t="shared" si="38"/>
        <v/>
      </c>
      <c r="K91" s="3" t="str">
        <f t="shared" si="77"/>
        <v/>
      </c>
      <c r="L91" s="3" t="str">
        <f t="shared" si="78"/>
        <v/>
      </c>
      <c r="M91" s="3" t="str">
        <f t="shared" si="79"/>
        <v/>
      </c>
      <c r="N91" s="3" t="str">
        <f t="shared" si="80"/>
        <v/>
      </c>
      <c r="O91" s="3" t="str">
        <f t="shared" si="81"/>
        <v/>
      </c>
      <c r="P91" s="3" t="str">
        <f t="shared" si="82"/>
        <v/>
      </c>
      <c r="Q91" s="3" t="str">
        <f t="shared" si="83"/>
        <v/>
      </c>
      <c r="R91" s="3" t="str">
        <f t="shared" si="84"/>
        <v/>
      </c>
      <c r="S91" s="3" t="str">
        <f t="shared" si="85"/>
        <v/>
      </c>
      <c r="T91" s="3" t="str">
        <f t="shared" si="86"/>
        <v/>
      </c>
      <c r="U91" s="3" t="str">
        <f t="shared" si="87"/>
        <v/>
      </c>
      <c r="V91" s="3" t="str">
        <f t="shared" si="88"/>
        <v/>
      </c>
      <c r="W91" s="3" t="str">
        <f t="shared" si="89"/>
        <v/>
      </c>
      <c r="X91" s="3" t="str">
        <f t="shared" si="90"/>
        <v/>
      </c>
      <c r="Y91" s="3" t="str">
        <f t="shared" si="91"/>
        <v/>
      </c>
      <c r="Z91" s="3" t="str">
        <f t="shared" si="74"/>
        <v>Outro</v>
      </c>
    </row>
    <row r="92" spans="2:26" ht="15" customHeight="1" x14ac:dyDescent="0.25">
      <c r="B92" s="77" t="str">
        <f>IF('DETALHE GANHOS E GASTOS'!B91&lt;&gt;"",'DETALHE GANHOS E GASTOS'!B91,"")</f>
        <v>6.6.9</v>
      </c>
      <c r="C92" s="48" t="str">
        <f>IF('DETALHE GANHOS E GASTOS'!C91&lt;&gt;"",'DETALHE GANHOS E GASTOS'!C91,"")</f>
        <v>Outras provisões</v>
      </c>
      <c r="D92" s="87">
        <f>IFERROR(INDEX('DETALHE GANHOS E GASTOS'!$C$14:$H$123,MATCH($C92,'DETALHE GANHOS E GASTOS'!$C$14:$C$123,0),4),"")</f>
        <v>0</v>
      </c>
      <c r="E92" s="87">
        <f>IFERROR(INDEX('DETALHE GANHOS E GASTOS'!$C$14:$H$123,MATCH($C92,'DETALHE GANHOS E GASTOS'!$C$14:$C$123,0),5),"")</f>
        <v>0</v>
      </c>
      <c r="F92" s="87">
        <f>IFERROR(INDEX('DETALHE GANHOS E GASTOS'!$C$14:$H$123,MATCH($C92,'DETALHE GANHOS E GASTOS'!$C$14:$C$123,0),6),"")</f>
        <v>0</v>
      </c>
      <c r="G92" s="308"/>
      <c r="H92" s="61" t="str">
        <f t="shared" si="58"/>
        <v/>
      </c>
      <c r="J92" s="144" t="str">
        <f t="shared" si="38"/>
        <v/>
      </c>
      <c r="K92" s="3" t="str">
        <f t="shared" si="77"/>
        <v/>
      </c>
      <c r="L92" s="3" t="str">
        <f t="shared" si="78"/>
        <v/>
      </c>
      <c r="M92" s="3" t="str">
        <f t="shared" si="79"/>
        <v/>
      </c>
      <c r="N92" s="3" t="str">
        <f t="shared" si="80"/>
        <v/>
      </c>
      <c r="O92" s="3" t="str">
        <f t="shared" si="81"/>
        <v/>
      </c>
      <c r="P92" s="3" t="str">
        <f t="shared" si="82"/>
        <v/>
      </c>
      <c r="Q92" s="3" t="str">
        <f t="shared" si="83"/>
        <v/>
      </c>
      <c r="R92" s="3" t="str">
        <f t="shared" si="84"/>
        <v/>
      </c>
      <c r="S92" s="3" t="str">
        <f t="shared" si="85"/>
        <v/>
      </c>
      <c r="T92" s="3" t="str">
        <f t="shared" si="86"/>
        <v/>
      </c>
      <c r="U92" s="3" t="str">
        <f t="shared" si="87"/>
        <v/>
      </c>
      <c r="V92" s="3" t="str">
        <f t="shared" si="88"/>
        <v/>
      </c>
      <c r="W92" s="3" t="str">
        <f t="shared" si="89"/>
        <v/>
      </c>
      <c r="X92" s="3" t="str">
        <f t="shared" si="90"/>
        <v/>
      </c>
      <c r="Y92" s="3" t="str">
        <f t="shared" si="91"/>
        <v/>
      </c>
      <c r="Z92" s="3" t="str">
        <f t="shared" si="74"/>
        <v>Outro</v>
      </c>
    </row>
    <row r="93" spans="2:26" ht="15" customHeight="1" x14ac:dyDescent="0.25">
      <c r="B93" s="77" t="str">
        <f>IF('DETALHE GANHOS E GASTOS'!B92&lt;&gt;"",'DETALHE GANHOS E GASTOS'!B92,"")</f>
        <v/>
      </c>
      <c r="C93" s="48" t="str">
        <f>IF('DETALHE GANHOS E GASTOS'!C92&lt;&gt;"",'DETALHE GANHOS E GASTOS'!C92,"")</f>
        <v/>
      </c>
      <c r="D93" s="87" t="str">
        <f>IFERROR(INDEX('DETALHE GANHOS E GASTOS'!$C$14:$H$123,MATCH($C93,'DETALHE GANHOS E GASTOS'!$C$14:$C$123,0),4),"")</f>
        <v/>
      </c>
      <c r="E93" s="87" t="str">
        <f>IFERROR(INDEX('DETALHE GANHOS E GASTOS'!$C$14:$H$123,MATCH($C93,'DETALHE GANHOS E GASTOS'!$C$14:$C$123,0),5),"")</f>
        <v/>
      </c>
      <c r="F93" s="87" t="str">
        <f>IFERROR(INDEX('DETALHE GANHOS E GASTOS'!$C$14:$H$123,MATCH($C93,'DETALHE GANHOS E GASTOS'!$C$14:$C$123,0),6),"")</f>
        <v/>
      </c>
      <c r="G93" s="308"/>
      <c r="H93" s="61" t="str">
        <f t="shared" si="58"/>
        <v/>
      </c>
      <c r="J93" s="144" t="str">
        <f t="shared" si="38"/>
        <v/>
      </c>
      <c r="K93" s="3" t="str">
        <f t="shared" si="77"/>
        <v/>
      </c>
      <c r="L93" s="3" t="str">
        <f t="shared" si="78"/>
        <v/>
      </c>
      <c r="M93" s="3" t="str">
        <f t="shared" si="79"/>
        <v/>
      </c>
      <c r="N93" s="3" t="str">
        <f t="shared" si="80"/>
        <v/>
      </c>
      <c r="O93" s="3" t="str">
        <f t="shared" si="81"/>
        <v/>
      </c>
      <c r="P93" s="3" t="str">
        <f t="shared" si="82"/>
        <v/>
      </c>
      <c r="Q93" s="3" t="str">
        <f t="shared" si="83"/>
        <v/>
      </c>
      <c r="R93" s="3" t="str">
        <f t="shared" si="84"/>
        <v/>
      </c>
      <c r="S93" s="3" t="str">
        <f t="shared" si="85"/>
        <v/>
      </c>
      <c r="T93" s="3" t="str">
        <f t="shared" si="86"/>
        <v/>
      </c>
      <c r="U93" s="3" t="str">
        <f t="shared" si="87"/>
        <v/>
      </c>
      <c r="V93" s="3" t="str">
        <f t="shared" si="88"/>
        <v/>
      </c>
      <c r="W93" s="3" t="str">
        <f t="shared" si="89"/>
        <v/>
      </c>
      <c r="X93" s="3" t="str">
        <f t="shared" si="90"/>
        <v/>
      </c>
      <c r="Y93" s="3" t="str">
        <f t="shared" si="91"/>
        <v/>
      </c>
      <c r="Z93" s="3" t="str">
        <f t="shared" si="74"/>
        <v>Outro</v>
      </c>
    </row>
    <row r="94" spans="2:26" ht="15" customHeight="1" x14ac:dyDescent="0.25">
      <c r="B94" s="77" t="str">
        <f>IF('DETALHE GANHOS E GASTOS'!B93&lt;&gt;"",'DETALHE GANHOS E GASTOS'!B93,"")</f>
        <v/>
      </c>
      <c r="C94" s="48" t="str">
        <f>IF('DETALHE GANHOS E GASTOS'!C93&lt;&gt;"",'DETALHE GANHOS E GASTOS'!C93,"")</f>
        <v/>
      </c>
      <c r="D94" s="87" t="str">
        <f>IFERROR(INDEX('DETALHE GANHOS E GASTOS'!$C$14:$H$123,MATCH($C94,'DETALHE GANHOS E GASTOS'!$C$14:$C$123,0),4),"")</f>
        <v/>
      </c>
      <c r="E94" s="87" t="str">
        <f>IFERROR(INDEX('DETALHE GANHOS E GASTOS'!$C$14:$H$123,MATCH($C94,'DETALHE GANHOS E GASTOS'!$C$14:$C$123,0),5),"")</f>
        <v/>
      </c>
      <c r="F94" s="87" t="str">
        <f>IFERROR(INDEX('DETALHE GANHOS E GASTOS'!$C$14:$H$123,MATCH($C94,'DETALHE GANHOS E GASTOS'!$C$14:$C$123,0),6),"")</f>
        <v/>
      </c>
      <c r="G94" s="308"/>
      <c r="H94" s="61" t="str">
        <f t="shared" si="58"/>
        <v/>
      </c>
      <c r="J94" s="144" t="str">
        <f t="shared" si="38"/>
        <v/>
      </c>
      <c r="K94" s="3" t="str">
        <f t="shared" si="77"/>
        <v/>
      </c>
      <c r="L94" s="3" t="str">
        <f t="shared" si="78"/>
        <v/>
      </c>
      <c r="M94" s="3" t="str">
        <f t="shared" si="79"/>
        <v/>
      </c>
      <c r="N94" s="3" t="str">
        <f t="shared" si="80"/>
        <v/>
      </c>
      <c r="O94" s="3" t="str">
        <f t="shared" si="81"/>
        <v/>
      </c>
      <c r="P94" s="3" t="str">
        <f t="shared" si="82"/>
        <v/>
      </c>
      <c r="Q94" s="3" t="str">
        <f t="shared" si="83"/>
        <v/>
      </c>
      <c r="R94" s="3" t="str">
        <f t="shared" si="84"/>
        <v/>
      </c>
      <c r="S94" s="3" t="str">
        <f t="shared" si="85"/>
        <v/>
      </c>
      <c r="T94" s="3" t="str">
        <f t="shared" si="86"/>
        <v/>
      </c>
      <c r="U94" s="3" t="str">
        <f t="shared" si="87"/>
        <v/>
      </c>
      <c r="V94" s="3" t="str">
        <f t="shared" si="88"/>
        <v/>
      </c>
      <c r="W94" s="3" t="str">
        <f t="shared" si="89"/>
        <v/>
      </c>
      <c r="X94" s="3" t="str">
        <f t="shared" si="90"/>
        <v/>
      </c>
      <c r="Y94" s="3" t="str">
        <f t="shared" si="91"/>
        <v/>
      </c>
      <c r="Z94" s="3" t="str">
        <f t="shared" si="74"/>
        <v>Outro</v>
      </c>
    </row>
    <row r="95" spans="2:26" ht="15" customHeight="1" x14ac:dyDescent="0.25">
      <c r="B95" s="73" t="str">
        <f>IF('DETALHE GANHOS E GASTOS'!B94&lt;&gt;"",'DETALHE GANHOS E GASTOS'!B94,"")</f>
        <v>6.7</v>
      </c>
      <c r="C95" s="53" t="str">
        <f>IF('DETALHE GANHOS E GASTOS'!C94&lt;&gt;"",'DETALHE GANHOS E GASTOS'!C94,"")</f>
        <v>PERDAS POR REDUCAO DO JUSTO VALOR</v>
      </c>
      <c r="D95" s="211">
        <f>SUM(D96:D101)</f>
        <v>0</v>
      </c>
      <c r="E95" s="211">
        <f t="shared" ref="E95" si="92">SUM(E96:E101)</f>
        <v>0</v>
      </c>
      <c r="F95" s="211">
        <f t="shared" ref="F95:G95" si="93">SUM(F96:F101)</f>
        <v>0</v>
      </c>
      <c r="G95" s="309">
        <f t="shared" si="93"/>
        <v>0</v>
      </c>
      <c r="H95" s="212" t="str">
        <f t="shared" si="58"/>
        <v/>
      </c>
    </row>
    <row r="96" spans="2:26" ht="15" customHeight="1" x14ac:dyDescent="0.25">
      <c r="B96" s="77" t="str">
        <f>IF('DETALHE GANHOS E GASTOS'!B95&lt;&gt;"",'DETALHE GANHOS E GASTOS'!B95,"")</f>
        <v>6.7.1</v>
      </c>
      <c r="C96" s="48" t="str">
        <f>IF('DETALHE GANHOS E GASTOS'!C95&lt;&gt;"",'DETALHE GANHOS E GASTOS'!C95,"")</f>
        <v>Instrumentos financeiros</v>
      </c>
      <c r="D96" s="87">
        <f>IFERROR(INDEX('DETALHE GANHOS E GASTOS'!$C$14:$H$123,MATCH($C96,'DETALHE GANHOS E GASTOS'!$C$14:$C$123,0),4),"")</f>
        <v>0</v>
      </c>
      <c r="E96" s="87">
        <f>IFERROR(INDEX('DETALHE GANHOS E GASTOS'!$C$14:$H$123,MATCH($C96,'DETALHE GANHOS E GASTOS'!$C$14:$C$123,0),5),"")</f>
        <v>0</v>
      </c>
      <c r="F96" s="87">
        <f>IFERROR(INDEX('DETALHE GANHOS E GASTOS'!$C$14:$H$123,MATCH($C96,'DETALHE GANHOS E GASTOS'!$C$14:$C$123,0),6),"")</f>
        <v>0</v>
      </c>
      <c r="G96" s="308"/>
      <c r="H96" s="61" t="str">
        <f t="shared" si="58"/>
        <v/>
      </c>
      <c r="J96" s="144" t="str">
        <f t="shared" si="38"/>
        <v/>
      </c>
      <c r="K96" s="3" t="str">
        <f t="shared" ref="K96:K101" si="94">IF($J96=MAX(J$16:J$18,J$20:J$30,J$32:J$67,J$69:J$75,J$77:J$82,J$84:J$94,J$96:J$101,J$103:J$113,J$115:J$124),"max1",$J96)</f>
        <v/>
      </c>
      <c r="L96" s="3" t="str">
        <f t="shared" ref="L96:L101" si="95">IF($K96=MAX(K$16:K$18,K$20:K$30,K$32:K$67,K$69:K$75,K$77:K$82,K$84:K$94,K$96:K$101,K$103:K$113,K$115:K$124),"max2",$K96)</f>
        <v/>
      </c>
      <c r="M96" s="3" t="str">
        <f t="shared" ref="M96:M101" si="96">IF($L96=MAX(L$16:L$18,L$20:L$30,L$32:L$67,L$69:L$75,L$77:L$82,L$84:L$94,L$96:L$101,L$103:L$113,L$115:L$124),"max3",$L96)</f>
        <v/>
      </c>
      <c r="N96" s="3" t="str">
        <f t="shared" ref="N96:N101" si="97">IF($M96=MAX(M$16:M$18,M$20:M$30,M$32:M$67,M$69:M$75,M$77:M$82,M$84:M$94,M$96:M$101,M$103:M$113,M$115:M$124),"max4",$M96)</f>
        <v/>
      </c>
      <c r="O96" s="3" t="str">
        <f t="shared" ref="O96:O101" si="98">IF($N96=MAX(N$16:N$18,N$20:N$30,N$32:N$67,N$69:N$75,N$77:N$82,N$84:N$94,N$96:N$101,N$103:N$113,N$115:N$124),"max5",$N96)</f>
        <v/>
      </c>
      <c r="P96" s="3" t="str">
        <f t="shared" ref="P96:P101" si="99">IF($O96=MAX(O$16:O$18,O$20:O$30,O$32:O$67,O$69:O$75,O$77:O$82,O$84:O$94,O$96:O$101,O$103:O$113,O$115:O$124),"max6",$O96)</f>
        <v/>
      </c>
      <c r="Q96" s="3" t="str">
        <f t="shared" ref="Q96:Q101" si="100">IF($P96=MAX(P$16:P$18,P$20:P$30,P$32:P$67,P$69:P$75,P$77:P$82,P$84:P$94,P$96:P$101,P$103:P$113,P$115:P$124),"max7",$P96)</f>
        <v/>
      </c>
      <c r="R96" s="3" t="str">
        <f t="shared" ref="R96:R101" si="101">IF($Q96=MAX(Q$16:Q$18,Q$20:Q$30,Q$32:Q$67,Q$69:Q$75,Q$77:Q$82,Q$84:Q$94,Q$96:Q$101,Q$103:Q$113,Q$115:Q$124),"max8",$Q96)</f>
        <v/>
      </c>
      <c r="S96" s="3" t="str">
        <f t="shared" ref="S96:S101" si="102">IF($R96=MAX(R$16:R$18,R$20:R$30,R$32:R$67,R$69:R$75,R$77:R$82,R$84:R$94,R$96:R$101,R$103:R$113,R$115:R$124),"max9",$R96)</f>
        <v/>
      </c>
      <c r="T96" s="3" t="str">
        <f t="shared" ref="T96:T101" si="103">IF($S96=MAX(S$16:S$18,S$20:S$30,S$32:S$67,S$69:S$75,S$77:S$82,S$84:S$94,S$96:S$101,S$103:S$113,S$115:S$124),"max10",$S96)</f>
        <v/>
      </c>
      <c r="U96" s="3" t="str">
        <f t="shared" ref="U96:U101" si="104">IF($T96=MAX(T$16:T$18,T$20:T$30,T$32:T$67,T$69:T$75,T$77:T$82,T$84:T$94,T$96:T$101,T$103:T$113,T$115:T$124),"max11",$T96)</f>
        <v/>
      </c>
      <c r="V96" s="3" t="str">
        <f t="shared" ref="V96:V101" si="105">IF($U96=MAX(U$16:U$18,U$20:U$30,U$32:U$67,U$69:U$75,U$77:U$82,U$84:U$94,U$96:U$101,U$103:U$113,U$115:U$124),"max12",$U96)</f>
        <v/>
      </c>
      <c r="W96" s="3" t="str">
        <f t="shared" ref="W96:W101" si="106">IF($V96=MAX(V$16:V$18,V$20:V$30,V$32:V$67,V$69:V$75,V$77:V$82,V$84:V$94,V$96:V$101,V$103:V$113,V$115:V$124),"max13",$V96)</f>
        <v/>
      </c>
      <c r="X96" s="3" t="str">
        <f t="shared" ref="X96:X101" si="107">IF($W96=MAX(W$16:W$18,W$20:W$30,W$32:W$67,W$69:W$75,W$77:W$82,W$84:W$94,W$96:W$101,W$103:W$113,W$115:W$124),"max14",$W96)</f>
        <v/>
      </c>
      <c r="Y96" s="3" t="str">
        <f t="shared" ref="Y96:Y101" si="108">IF($X96=MAX(X$16:X$18,X$20:X$30,X$32:X$67,X$69:X$75,X$77:X$82,X$84:X$94,X$96:X$101,X$103:X$113,X$115:X$124),"max15",$X96)</f>
        <v/>
      </c>
      <c r="Z96" s="3" t="str">
        <f t="shared" si="74"/>
        <v>Outro</v>
      </c>
    </row>
    <row r="97" spans="2:26" ht="15" customHeight="1" x14ac:dyDescent="0.25">
      <c r="B97" s="77" t="str">
        <f>IF('DETALHE GANHOS E GASTOS'!B96&lt;&gt;"",'DETALHE GANHOS E GASTOS'!B96,"")</f>
        <v>6.7.2</v>
      </c>
      <c r="C97" s="48" t="str">
        <f>IF('DETALHE GANHOS E GASTOS'!C96&lt;&gt;"",'DETALHE GANHOS E GASTOS'!C96,"")</f>
        <v>Activos tangíveis de investimento</v>
      </c>
      <c r="D97" s="87">
        <f>IFERROR(INDEX('DETALHE GANHOS E GASTOS'!$C$14:$H$123,MATCH($C97,'DETALHE GANHOS E GASTOS'!$C$14:$C$123,0),4),"")</f>
        <v>0</v>
      </c>
      <c r="E97" s="87">
        <f>IFERROR(INDEX('DETALHE GANHOS E GASTOS'!$C$14:$H$123,MATCH($C97,'DETALHE GANHOS E GASTOS'!$C$14:$C$123,0),5),"")</f>
        <v>0</v>
      </c>
      <c r="F97" s="87">
        <f>IFERROR(INDEX('DETALHE GANHOS E GASTOS'!$C$14:$H$123,MATCH($C97,'DETALHE GANHOS E GASTOS'!$C$14:$C$123,0),6),"")</f>
        <v>0</v>
      </c>
      <c r="G97" s="308"/>
      <c r="H97" s="61" t="str">
        <f t="shared" si="58"/>
        <v/>
      </c>
      <c r="J97" s="144" t="str">
        <f t="shared" si="38"/>
        <v/>
      </c>
      <c r="K97" s="3" t="str">
        <f t="shared" si="94"/>
        <v/>
      </c>
      <c r="L97" s="3" t="str">
        <f t="shared" si="95"/>
        <v/>
      </c>
      <c r="M97" s="3" t="str">
        <f t="shared" si="96"/>
        <v/>
      </c>
      <c r="N97" s="3" t="str">
        <f t="shared" si="97"/>
        <v/>
      </c>
      <c r="O97" s="3" t="str">
        <f t="shared" si="98"/>
        <v/>
      </c>
      <c r="P97" s="3" t="str">
        <f t="shared" si="99"/>
        <v/>
      </c>
      <c r="Q97" s="3" t="str">
        <f t="shared" si="100"/>
        <v/>
      </c>
      <c r="R97" s="3" t="str">
        <f t="shared" si="101"/>
        <v/>
      </c>
      <c r="S97" s="3" t="str">
        <f t="shared" si="102"/>
        <v/>
      </c>
      <c r="T97" s="3" t="str">
        <f t="shared" si="103"/>
        <v/>
      </c>
      <c r="U97" s="3" t="str">
        <f t="shared" si="104"/>
        <v/>
      </c>
      <c r="V97" s="3" t="str">
        <f t="shared" si="105"/>
        <v/>
      </c>
      <c r="W97" s="3" t="str">
        <f t="shared" si="106"/>
        <v/>
      </c>
      <c r="X97" s="3" t="str">
        <f t="shared" si="107"/>
        <v/>
      </c>
      <c r="Y97" s="3" t="str">
        <f t="shared" si="108"/>
        <v/>
      </c>
      <c r="Z97" s="3" t="str">
        <f t="shared" si="74"/>
        <v>Outro</v>
      </c>
    </row>
    <row r="98" spans="2:26" ht="15" customHeight="1" x14ac:dyDescent="0.25">
      <c r="B98" s="77" t="str">
        <f>IF('DETALHE GANHOS E GASTOS'!B97&lt;&gt;"",'DETALHE GANHOS E GASTOS'!B97,"")</f>
        <v>6.7.3</v>
      </c>
      <c r="C98" s="48" t="str">
        <f>IF('DETALHE GANHOS E GASTOS'!C97&lt;&gt;"",'DETALHE GANHOS E GASTOS'!C97,"")</f>
        <v>Activos biológicos</v>
      </c>
      <c r="D98" s="87">
        <f>IFERROR(INDEX('DETALHE GANHOS E GASTOS'!$C$14:$H$123,MATCH($C98,'DETALHE GANHOS E GASTOS'!$C$14:$C$123,0),4),"")</f>
        <v>0</v>
      </c>
      <c r="E98" s="87">
        <f>IFERROR(INDEX('DETALHE GANHOS E GASTOS'!$C$14:$H$123,MATCH($C98,'DETALHE GANHOS E GASTOS'!$C$14:$C$123,0),5),"")</f>
        <v>0</v>
      </c>
      <c r="F98" s="87">
        <f>IFERROR(INDEX('DETALHE GANHOS E GASTOS'!$C$14:$H$123,MATCH($C98,'DETALHE GANHOS E GASTOS'!$C$14:$C$123,0),6),"")</f>
        <v>0</v>
      </c>
      <c r="G98" s="308"/>
      <c r="H98" s="61" t="str">
        <f t="shared" si="58"/>
        <v/>
      </c>
      <c r="J98" s="144" t="str">
        <f t="shared" si="38"/>
        <v/>
      </c>
      <c r="K98" s="3" t="str">
        <f t="shared" si="94"/>
        <v/>
      </c>
      <c r="L98" s="3" t="str">
        <f t="shared" si="95"/>
        <v/>
      </c>
      <c r="M98" s="3" t="str">
        <f t="shared" si="96"/>
        <v/>
      </c>
      <c r="N98" s="3" t="str">
        <f t="shared" si="97"/>
        <v/>
      </c>
      <c r="O98" s="3" t="str">
        <f t="shared" si="98"/>
        <v/>
      </c>
      <c r="P98" s="3" t="str">
        <f t="shared" si="99"/>
        <v/>
      </c>
      <c r="Q98" s="3" t="str">
        <f t="shared" si="100"/>
        <v/>
      </c>
      <c r="R98" s="3" t="str">
        <f t="shared" si="101"/>
        <v/>
      </c>
      <c r="S98" s="3" t="str">
        <f t="shared" si="102"/>
        <v/>
      </c>
      <c r="T98" s="3" t="str">
        <f t="shared" si="103"/>
        <v/>
      </c>
      <c r="U98" s="3" t="str">
        <f t="shared" si="104"/>
        <v/>
      </c>
      <c r="V98" s="3" t="str">
        <f t="shared" si="105"/>
        <v/>
      </c>
      <c r="W98" s="3" t="str">
        <f t="shared" si="106"/>
        <v/>
      </c>
      <c r="X98" s="3" t="str">
        <f t="shared" si="107"/>
        <v/>
      </c>
      <c r="Y98" s="3" t="str">
        <f t="shared" si="108"/>
        <v/>
      </c>
      <c r="Z98" s="3" t="str">
        <f t="shared" si="74"/>
        <v>Outro</v>
      </c>
    </row>
    <row r="99" spans="2:26" ht="15" customHeight="1" x14ac:dyDescent="0.25">
      <c r="B99" s="77" t="str">
        <f>IF('DETALHE GANHOS E GASTOS'!B98&lt;&gt;"",'DETALHE GANHOS E GASTOS'!B98,"")</f>
        <v/>
      </c>
      <c r="C99" s="48" t="str">
        <f>IF('DETALHE GANHOS E GASTOS'!C98&lt;&gt;"",'DETALHE GANHOS E GASTOS'!C98,"")</f>
        <v/>
      </c>
      <c r="D99" s="87" t="str">
        <f>IFERROR(INDEX('DETALHE GANHOS E GASTOS'!$C$14:$H$123,MATCH($C99,'DETALHE GANHOS E GASTOS'!$C$14:$C$123,0),4),"")</f>
        <v/>
      </c>
      <c r="E99" s="87" t="str">
        <f>IFERROR(INDEX('DETALHE GANHOS E GASTOS'!$C$14:$H$123,MATCH($C99,'DETALHE GANHOS E GASTOS'!$C$14:$C$123,0),5),"")</f>
        <v/>
      </c>
      <c r="F99" s="87" t="str">
        <f>IFERROR(INDEX('DETALHE GANHOS E GASTOS'!$C$14:$H$123,MATCH($C99,'DETALHE GANHOS E GASTOS'!$C$14:$C$123,0),6),"")</f>
        <v/>
      </c>
      <c r="G99" s="308"/>
      <c r="H99" s="61" t="str">
        <f t="shared" si="58"/>
        <v/>
      </c>
      <c r="J99" s="144" t="str">
        <f t="shared" si="38"/>
        <v/>
      </c>
      <c r="K99" s="3" t="str">
        <f t="shared" si="94"/>
        <v/>
      </c>
      <c r="L99" s="3" t="str">
        <f t="shared" si="95"/>
        <v/>
      </c>
      <c r="M99" s="3" t="str">
        <f t="shared" si="96"/>
        <v/>
      </c>
      <c r="N99" s="3" t="str">
        <f t="shared" si="97"/>
        <v/>
      </c>
      <c r="O99" s="3" t="str">
        <f t="shared" si="98"/>
        <v/>
      </c>
      <c r="P99" s="3" t="str">
        <f t="shared" si="99"/>
        <v/>
      </c>
      <c r="Q99" s="3" t="str">
        <f t="shared" si="100"/>
        <v/>
      </c>
      <c r="R99" s="3" t="str">
        <f t="shared" si="101"/>
        <v/>
      </c>
      <c r="S99" s="3" t="str">
        <f t="shared" si="102"/>
        <v/>
      </c>
      <c r="T99" s="3" t="str">
        <f t="shared" si="103"/>
        <v/>
      </c>
      <c r="U99" s="3" t="str">
        <f t="shared" si="104"/>
        <v/>
      </c>
      <c r="V99" s="3" t="str">
        <f t="shared" si="105"/>
        <v/>
      </c>
      <c r="W99" s="3" t="str">
        <f t="shared" si="106"/>
        <v/>
      </c>
      <c r="X99" s="3" t="str">
        <f t="shared" si="107"/>
        <v/>
      </c>
      <c r="Y99" s="3" t="str">
        <f t="shared" si="108"/>
        <v/>
      </c>
      <c r="Z99" s="3" t="str">
        <f t="shared" si="74"/>
        <v>Outro</v>
      </c>
    </row>
    <row r="100" spans="2:26" ht="15" customHeight="1" x14ac:dyDescent="0.25">
      <c r="B100" s="77" t="str">
        <f>IF('DETALHE GANHOS E GASTOS'!B99&lt;&gt;"",'DETALHE GANHOS E GASTOS'!B99,"")</f>
        <v/>
      </c>
      <c r="C100" s="48" t="str">
        <f>IF('DETALHE GANHOS E GASTOS'!C99&lt;&gt;"",'DETALHE GANHOS E GASTOS'!C99,"")</f>
        <v/>
      </c>
      <c r="D100" s="87" t="str">
        <f>IFERROR(INDEX('DETALHE GANHOS E GASTOS'!$C$14:$H$123,MATCH($C100,'DETALHE GANHOS E GASTOS'!$C$14:$C$123,0),4),"")</f>
        <v/>
      </c>
      <c r="E100" s="87" t="str">
        <f>IFERROR(INDEX('DETALHE GANHOS E GASTOS'!$C$14:$H$123,MATCH($C100,'DETALHE GANHOS E GASTOS'!$C$14:$C$123,0),5),"")</f>
        <v/>
      </c>
      <c r="F100" s="87" t="str">
        <f>IFERROR(INDEX('DETALHE GANHOS E GASTOS'!$C$14:$H$123,MATCH($C100,'DETALHE GANHOS E GASTOS'!$C$14:$C$123,0),6),"")</f>
        <v/>
      </c>
      <c r="G100" s="308"/>
      <c r="H100" s="61" t="str">
        <f t="shared" si="58"/>
        <v/>
      </c>
      <c r="J100" s="144" t="str">
        <f t="shared" si="38"/>
        <v/>
      </c>
      <c r="K100" s="3" t="str">
        <f t="shared" si="94"/>
        <v/>
      </c>
      <c r="L100" s="3" t="str">
        <f t="shared" si="95"/>
        <v/>
      </c>
      <c r="M100" s="3" t="str">
        <f t="shared" si="96"/>
        <v/>
      </c>
      <c r="N100" s="3" t="str">
        <f t="shared" si="97"/>
        <v/>
      </c>
      <c r="O100" s="3" t="str">
        <f t="shared" si="98"/>
        <v/>
      </c>
      <c r="P100" s="3" t="str">
        <f t="shared" si="99"/>
        <v/>
      </c>
      <c r="Q100" s="3" t="str">
        <f t="shared" si="100"/>
        <v/>
      </c>
      <c r="R100" s="3" t="str">
        <f t="shared" si="101"/>
        <v/>
      </c>
      <c r="S100" s="3" t="str">
        <f t="shared" si="102"/>
        <v/>
      </c>
      <c r="T100" s="3" t="str">
        <f t="shared" si="103"/>
        <v/>
      </c>
      <c r="U100" s="3" t="str">
        <f t="shared" si="104"/>
        <v/>
      </c>
      <c r="V100" s="3" t="str">
        <f t="shared" si="105"/>
        <v/>
      </c>
      <c r="W100" s="3" t="str">
        <f t="shared" si="106"/>
        <v/>
      </c>
      <c r="X100" s="3" t="str">
        <f t="shared" si="107"/>
        <v/>
      </c>
      <c r="Y100" s="3" t="str">
        <f t="shared" si="108"/>
        <v/>
      </c>
      <c r="Z100" s="3" t="str">
        <f t="shared" si="74"/>
        <v>Outro</v>
      </c>
    </row>
    <row r="101" spans="2:26" ht="15" customHeight="1" x14ac:dyDescent="0.25">
      <c r="B101" s="77" t="str">
        <f>IF('DETALHE GANHOS E GASTOS'!B100&lt;&gt;"",'DETALHE GANHOS E GASTOS'!B100,"")</f>
        <v/>
      </c>
      <c r="C101" s="48" t="str">
        <f>IF('DETALHE GANHOS E GASTOS'!C100&lt;&gt;"",'DETALHE GANHOS E GASTOS'!C100,"")</f>
        <v/>
      </c>
      <c r="D101" s="87" t="str">
        <f>IFERROR(INDEX('DETALHE GANHOS E GASTOS'!$C$14:$H$123,MATCH($C101,'DETALHE GANHOS E GASTOS'!$C$14:$C$123,0),4),"")</f>
        <v/>
      </c>
      <c r="E101" s="87" t="str">
        <f>IFERROR(INDEX('DETALHE GANHOS E GASTOS'!$C$14:$H$123,MATCH($C101,'DETALHE GANHOS E GASTOS'!$C$14:$C$123,0),5),"")</f>
        <v/>
      </c>
      <c r="F101" s="87" t="str">
        <f>IFERROR(INDEX('DETALHE GANHOS E GASTOS'!$C$14:$H$123,MATCH($C101,'DETALHE GANHOS E GASTOS'!$C$14:$C$123,0),6),"")</f>
        <v/>
      </c>
      <c r="G101" s="308"/>
      <c r="H101" s="61" t="str">
        <f t="shared" si="58"/>
        <v/>
      </c>
      <c r="J101" s="144" t="str">
        <f t="shared" si="38"/>
        <v/>
      </c>
      <c r="K101" s="3" t="str">
        <f t="shared" si="94"/>
        <v/>
      </c>
      <c r="L101" s="3" t="str">
        <f t="shared" si="95"/>
        <v/>
      </c>
      <c r="M101" s="3" t="str">
        <f t="shared" si="96"/>
        <v/>
      </c>
      <c r="N101" s="3" t="str">
        <f t="shared" si="97"/>
        <v/>
      </c>
      <c r="O101" s="3" t="str">
        <f t="shared" si="98"/>
        <v/>
      </c>
      <c r="P101" s="3" t="str">
        <f t="shared" si="99"/>
        <v/>
      </c>
      <c r="Q101" s="3" t="str">
        <f t="shared" si="100"/>
        <v/>
      </c>
      <c r="R101" s="3" t="str">
        <f t="shared" si="101"/>
        <v/>
      </c>
      <c r="S101" s="3" t="str">
        <f t="shared" si="102"/>
        <v/>
      </c>
      <c r="T101" s="3" t="str">
        <f t="shared" si="103"/>
        <v/>
      </c>
      <c r="U101" s="3" t="str">
        <f t="shared" si="104"/>
        <v/>
      </c>
      <c r="V101" s="3" t="str">
        <f t="shared" si="105"/>
        <v/>
      </c>
      <c r="W101" s="3" t="str">
        <f t="shared" si="106"/>
        <v/>
      </c>
      <c r="X101" s="3" t="str">
        <f t="shared" si="107"/>
        <v/>
      </c>
      <c r="Y101" s="3" t="str">
        <f t="shared" si="108"/>
        <v/>
      </c>
      <c r="Z101" s="3" t="str">
        <f t="shared" si="74"/>
        <v>Outro</v>
      </c>
    </row>
    <row r="102" spans="2:26" ht="15" customHeight="1" x14ac:dyDescent="0.25">
      <c r="B102" s="73" t="str">
        <f>IF('DETALHE GANHOS E GASTOS'!B101&lt;&gt;"",'DETALHE GANHOS E GASTOS'!B101,"")</f>
        <v>6.8</v>
      </c>
      <c r="C102" s="53" t="str">
        <f>IF('DETALHE GANHOS E GASTOS'!C101&lt;&gt;"",'DETALHE GANHOS E GASTOS'!C101,"")</f>
        <v>OUTROS GASTOS E PERDAS OPERACIONAIS</v>
      </c>
      <c r="D102" s="211">
        <f>SUM(D103:D113)</f>
        <v>0</v>
      </c>
      <c r="E102" s="211">
        <f t="shared" ref="E102" si="109">SUM(E103:E113)</f>
        <v>0</v>
      </c>
      <c r="F102" s="211">
        <f t="shared" ref="F102:G102" si="110">SUM(F103:F113)</f>
        <v>408314.89</v>
      </c>
      <c r="G102" s="309">
        <f t="shared" si="110"/>
        <v>0</v>
      </c>
      <c r="H102" s="212">
        <f t="shared" si="58"/>
        <v>-1</v>
      </c>
    </row>
    <row r="103" spans="2:26" ht="15" customHeight="1" x14ac:dyDescent="0.25">
      <c r="B103" s="77" t="str">
        <f>IF('DETALHE GANHOS E GASTOS'!B102&lt;&gt;"",'DETALHE GANHOS E GASTOS'!B102,"")</f>
        <v>6.8.1</v>
      </c>
      <c r="C103" s="48" t="str">
        <f>IF('DETALHE GANHOS E GASTOS'!C102&lt;&gt;"",'DETALHE GANHOS E GASTOS'!C102,"")</f>
        <v>Despesas de investigação e pesquisa</v>
      </c>
      <c r="D103" s="87">
        <f>IFERROR(INDEX('DETALHE GANHOS E GASTOS'!$C$14:$H$123,MATCH($C103,'DETALHE GANHOS E GASTOS'!$C$14:$C$123,0),4),"")</f>
        <v>0</v>
      </c>
      <c r="E103" s="87">
        <f>IFERROR(INDEX('DETALHE GANHOS E GASTOS'!$C$14:$H$123,MATCH($C103,'DETALHE GANHOS E GASTOS'!$C$14:$C$123,0),5),"")</f>
        <v>0</v>
      </c>
      <c r="F103" s="87">
        <f>IFERROR(INDEX('DETALHE GANHOS E GASTOS'!$C$14:$H$123,MATCH($C103,'DETALHE GANHOS E GASTOS'!$C$14:$C$123,0),6),"")</f>
        <v>0</v>
      </c>
      <c r="G103" s="308"/>
      <c r="H103" s="61" t="str">
        <f t="shared" si="58"/>
        <v/>
      </c>
      <c r="J103" s="144" t="str">
        <f t="shared" si="38"/>
        <v/>
      </c>
      <c r="K103" s="3" t="str">
        <f t="shared" ref="K103:K113" si="111">IF($J103=MAX(J$16:J$18,J$20:J$30,J$32:J$67,J$69:J$75,J$77:J$82,J$84:J$94,J$96:J$101,J$103:J$113,J$115:J$124),"max1",$J103)</f>
        <v/>
      </c>
      <c r="L103" s="3" t="str">
        <f t="shared" ref="L103:L113" si="112">IF($K103=MAX(K$16:K$18,K$20:K$30,K$32:K$67,K$69:K$75,K$77:K$82,K$84:K$94,K$96:K$101,K$103:K$113,K$115:K$124),"max2",$K103)</f>
        <v/>
      </c>
      <c r="M103" s="3" t="str">
        <f t="shared" ref="M103:M113" si="113">IF($L103=MAX(L$16:L$18,L$20:L$30,L$32:L$67,L$69:L$75,L$77:L$82,L$84:L$94,L$96:L$101,L$103:L$113,L$115:L$124),"max3",$L103)</f>
        <v/>
      </c>
      <c r="N103" s="3" t="str">
        <f t="shared" ref="N103:N113" si="114">IF($M103=MAX(M$16:M$18,M$20:M$30,M$32:M$67,M$69:M$75,M$77:M$82,M$84:M$94,M$96:M$101,M$103:M$113,M$115:M$124),"max4",$M103)</f>
        <v/>
      </c>
      <c r="O103" s="3" t="str">
        <f t="shared" ref="O103:O113" si="115">IF($N103=MAX(N$16:N$18,N$20:N$30,N$32:N$67,N$69:N$75,N$77:N$82,N$84:N$94,N$96:N$101,N$103:N$113,N$115:N$124),"max5",$N103)</f>
        <v/>
      </c>
      <c r="P103" s="3" t="str">
        <f t="shared" ref="P103:P113" si="116">IF($O103=MAX(O$16:O$18,O$20:O$30,O$32:O$67,O$69:O$75,O$77:O$82,O$84:O$94,O$96:O$101,O$103:O$113,O$115:O$124),"max6",$O103)</f>
        <v/>
      </c>
      <c r="Q103" s="3" t="str">
        <f t="shared" ref="Q103:Q113" si="117">IF($P103=MAX(P$16:P$18,P$20:P$30,P$32:P$67,P$69:P$75,P$77:P$82,P$84:P$94,P$96:P$101,P$103:P$113,P$115:P$124),"max7",$P103)</f>
        <v/>
      </c>
      <c r="R103" s="3" t="str">
        <f t="shared" ref="R103:R113" si="118">IF($Q103=MAX(Q$16:Q$18,Q$20:Q$30,Q$32:Q$67,Q$69:Q$75,Q$77:Q$82,Q$84:Q$94,Q$96:Q$101,Q$103:Q$113,Q$115:Q$124),"max8",$Q103)</f>
        <v/>
      </c>
      <c r="S103" s="3" t="str">
        <f t="shared" ref="S103:S113" si="119">IF($R103=MAX(R$16:R$18,R$20:R$30,R$32:R$67,R$69:R$75,R$77:R$82,R$84:R$94,R$96:R$101,R$103:R$113,R$115:R$124),"max9",$R103)</f>
        <v/>
      </c>
      <c r="T103" s="3" t="str">
        <f t="shared" ref="T103:T113" si="120">IF($S103=MAX(S$16:S$18,S$20:S$30,S$32:S$67,S$69:S$75,S$77:S$82,S$84:S$94,S$96:S$101,S$103:S$113,S$115:S$124),"max10",$S103)</f>
        <v/>
      </c>
      <c r="U103" s="3" t="str">
        <f t="shared" ref="U103:U113" si="121">IF($T103=MAX(T$16:T$18,T$20:T$30,T$32:T$67,T$69:T$75,T$77:T$82,T$84:T$94,T$96:T$101,T$103:T$113,T$115:T$124),"max11",$T103)</f>
        <v/>
      </c>
      <c r="V103" s="3" t="str">
        <f t="shared" ref="V103:V113" si="122">IF($U103=MAX(U$16:U$18,U$20:U$30,U$32:U$67,U$69:U$75,U$77:U$82,U$84:U$94,U$96:U$101,U$103:U$113,U$115:U$124),"max12",$U103)</f>
        <v/>
      </c>
      <c r="W103" s="3" t="str">
        <f t="shared" ref="W103:W113" si="123">IF($V103=MAX(V$16:V$18,V$20:V$30,V$32:V$67,V$69:V$75,V$77:V$82,V$84:V$94,V$96:V$101,V$103:V$113,V$115:V$124),"max13",$V103)</f>
        <v/>
      </c>
      <c r="X103" s="3" t="str">
        <f t="shared" ref="X103:X113" si="124">IF($W103=MAX(W$16:W$18,W$20:W$30,W$32:W$67,W$69:W$75,W$77:W$82,W$84:W$94,W$96:W$101,W$103:W$113,W$115:W$124),"max14",$W103)</f>
        <v/>
      </c>
      <c r="Y103" s="3" t="str">
        <f t="shared" ref="Y103:Y113" si="125">IF($X103=MAX(X$16:X$18,X$20:X$30,X$32:X$67,X$69:X$75,X$77:X$82,X$84:X$94,X$96:X$101,X$103:X$113,X$115:X$124),"max15",$X103)</f>
        <v/>
      </c>
      <c r="Z103" s="3" t="str">
        <f t="shared" si="74"/>
        <v>Outro</v>
      </c>
    </row>
    <row r="104" spans="2:26" ht="15" customHeight="1" x14ac:dyDescent="0.25">
      <c r="B104" s="77" t="str">
        <f>IF('DETALHE GANHOS E GASTOS'!B103&lt;&gt;"",'DETALHE GANHOS E GASTOS'!B103,"")</f>
        <v>6.8.2</v>
      </c>
      <c r="C104" s="48" t="str">
        <f>IF('DETALHE GANHOS E GASTOS'!C103&lt;&gt;"",'DETALHE GANHOS E GASTOS'!C103,"")</f>
        <v>Impostos e taxas</v>
      </c>
      <c r="D104" s="87">
        <f>IFERROR(INDEX('DETALHE GANHOS E GASTOS'!$C$14:$H$123,MATCH($C104,'DETALHE GANHOS E GASTOS'!$C$14:$C$123,0),4),"")</f>
        <v>0</v>
      </c>
      <c r="E104" s="87">
        <f>IFERROR(INDEX('DETALHE GANHOS E GASTOS'!$C$14:$H$123,MATCH($C104,'DETALHE GANHOS E GASTOS'!$C$14:$C$123,0),5),"")</f>
        <v>0</v>
      </c>
      <c r="F104" s="87">
        <f>IFERROR(INDEX('DETALHE GANHOS E GASTOS'!$C$14:$H$123,MATCH($C104,'DETALHE GANHOS E GASTOS'!$C$14:$C$123,0),6),"")</f>
        <v>408314.89</v>
      </c>
      <c r="G104" s="308"/>
      <c r="H104" s="61">
        <f t="shared" si="58"/>
        <v>-1</v>
      </c>
      <c r="J104" s="144" t="str">
        <f t="shared" si="38"/>
        <v/>
      </c>
      <c r="K104" s="3" t="str">
        <f t="shared" si="111"/>
        <v/>
      </c>
      <c r="L104" s="3" t="str">
        <f t="shared" si="112"/>
        <v/>
      </c>
      <c r="M104" s="3" t="str">
        <f t="shared" si="113"/>
        <v/>
      </c>
      <c r="N104" s="3" t="str">
        <f t="shared" si="114"/>
        <v/>
      </c>
      <c r="O104" s="3" t="str">
        <f t="shared" si="115"/>
        <v/>
      </c>
      <c r="P104" s="3" t="str">
        <f t="shared" si="116"/>
        <v/>
      </c>
      <c r="Q104" s="3" t="str">
        <f t="shared" si="117"/>
        <v/>
      </c>
      <c r="R104" s="3" t="str">
        <f t="shared" si="118"/>
        <v/>
      </c>
      <c r="S104" s="3" t="str">
        <f t="shared" si="119"/>
        <v/>
      </c>
      <c r="T104" s="3" t="str">
        <f t="shared" si="120"/>
        <v/>
      </c>
      <c r="U104" s="3" t="str">
        <f t="shared" si="121"/>
        <v/>
      </c>
      <c r="V104" s="3" t="str">
        <f t="shared" si="122"/>
        <v/>
      </c>
      <c r="W104" s="3" t="str">
        <f t="shared" si="123"/>
        <v/>
      </c>
      <c r="X104" s="3" t="str">
        <f t="shared" si="124"/>
        <v/>
      </c>
      <c r="Y104" s="3" t="str">
        <f t="shared" si="125"/>
        <v/>
      </c>
      <c r="Z104" s="3" t="str">
        <f t="shared" si="74"/>
        <v>Outro</v>
      </c>
    </row>
    <row r="105" spans="2:26" ht="15" customHeight="1" x14ac:dyDescent="0.25">
      <c r="B105" s="77" t="str">
        <f>IF('DETALHE GANHOS E GASTOS'!B104&lt;&gt;"",'DETALHE GANHOS E GASTOS'!B104,"")</f>
        <v>6.8.3</v>
      </c>
      <c r="C105" s="48" t="str">
        <f>IF('DETALHE GANHOS E GASTOS'!C104&lt;&gt;"",'DETALHE GANHOS E GASTOS'!C104,"")</f>
        <v>Perdas em investimento de capital</v>
      </c>
      <c r="D105" s="87">
        <f>IFERROR(INDEX('DETALHE GANHOS E GASTOS'!$C$14:$H$123,MATCH($C105,'DETALHE GANHOS E GASTOS'!$C$14:$C$123,0),4),"")</f>
        <v>0</v>
      </c>
      <c r="E105" s="87">
        <f>IFERROR(INDEX('DETALHE GANHOS E GASTOS'!$C$14:$H$123,MATCH($C105,'DETALHE GANHOS E GASTOS'!$C$14:$C$123,0),5),"")</f>
        <v>0</v>
      </c>
      <c r="F105" s="87">
        <f>IFERROR(INDEX('DETALHE GANHOS E GASTOS'!$C$14:$H$123,MATCH($C105,'DETALHE GANHOS E GASTOS'!$C$14:$C$123,0),6),"")</f>
        <v>0</v>
      </c>
      <c r="G105" s="308"/>
      <c r="H105" s="61" t="str">
        <f t="shared" si="58"/>
        <v/>
      </c>
      <c r="J105" s="144" t="str">
        <f t="shared" si="38"/>
        <v/>
      </c>
      <c r="K105" s="3" t="str">
        <f t="shared" si="111"/>
        <v/>
      </c>
      <c r="L105" s="3" t="str">
        <f t="shared" si="112"/>
        <v/>
      </c>
      <c r="M105" s="3" t="str">
        <f t="shared" si="113"/>
        <v/>
      </c>
      <c r="N105" s="3" t="str">
        <f t="shared" si="114"/>
        <v/>
      </c>
      <c r="O105" s="3" t="str">
        <f t="shared" si="115"/>
        <v/>
      </c>
      <c r="P105" s="3" t="str">
        <f t="shared" si="116"/>
        <v/>
      </c>
      <c r="Q105" s="3" t="str">
        <f t="shared" si="117"/>
        <v/>
      </c>
      <c r="R105" s="3" t="str">
        <f t="shared" si="118"/>
        <v/>
      </c>
      <c r="S105" s="3" t="str">
        <f t="shared" si="119"/>
        <v/>
      </c>
      <c r="T105" s="3" t="str">
        <f t="shared" si="120"/>
        <v/>
      </c>
      <c r="U105" s="3" t="str">
        <f t="shared" si="121"/>
        <v/>
      </c>
      <c r="V105" s="3" t="str">
        <f t="shared" si="122"/>
        <v/>
      </c>
      <c r="W105" s="3" t="str">
        <f t="shared" si="123"/>
        <v/>
      </c>
      <c r="X105" s="3" t="str">
        <f t="shared" si="124"/>
        <v/>
      </c>
      <c r="Y105" s="3" t="str">
        <f t="shared" si="125"/>
        <v/>
      </c>
      <c r="Z105" s="3" t="str">
        <f t="shared" si="74"/>
        <v>Outro</v>
      </c>
    </row>
    <row r="106" spans="2:26" ht="15" customHeight="1" x14ac:dyDescent="0.25">
      <c r="B106" s="77" t="str">
        <f>IF('DETALHE GANHOS E GASTOS'!B105&lt;&gt;"",'DETALHE GANHOS E GASTOS'!B105,"")</f>
        <v>6.8.4</v>
      </c>
      <c r="C106" s="48" t="str">
        <f>IF('DETALHE GANHOS E GASTOS'!C105&lt;&gt;"",'DETALHE GANHOS E GASTOS'!C105,"")</f>
        <v>Perdas em inventários e activos biológicos</v>
      </c>
      <c r="D106" s="87">
        <f>IFERROR(INDEX('DETALHE GANHOS E GASTOS'!$C$14:$H$123,MATCH($C106,'DETALHE GANHOS E GASTOS'!$C$14:$C$123,0),4),"")</f>
        <v>0</v>
      </c>
      <c r="E106" s="87">
        <f>IFERROR(INDEX('DETALHE GANHOS E GASTOS'!$C$14:$H$123,MATCH($C106,'DETALHE GANHOS E GASTOS'!$C$14:$C$123,0),5),"")</f>
        <v>0</v>
      </c>
      <c r="F106" s="87">
        <f>IFERROR(INDEX('DETALHE GANHOS E GASTOS'!$C$14:$H$123,MATCH($C106,'DETALHE GANHOS E GASTOS'!$C$14:$C$123,0),6),"")</f>
        <v>0</v>
      </c>
      <c r="G106" s="308"/>
      <c r="H106" s="61" t="str">
        <f t="shared" si="58"/>
        <v/>
      </c>
      <c r="J106" s="144" t="str">
        <f t="shared" si="38"/>
        <v/>
      </c>
      <c r="K106" s="3" t="str">
        <f t="shared" si="111"/>
        <v/>
      </c>
      <c r="L106" s="3" t="str">
        <f t="shared" si="112"/>
        <v/>
      </c>
      <c r="M106" s="3" t="str">
        <f t="shared" si="113"/>
        <v/>
      </c>
      <c r="N106" s="3" t="str">
        <f t="shared" si="114"/>
        <v/>
      </c>
      <c r="O106" s="3" t="str">
        <f t="shared" si="115"/>
        <v/>
      </c>
      <c r="P106" s="3" t="str">
        <f t="shared" si="116"/>
        <v/>
      </c>
      <c r="Q106" s="3" t="str">
        <f t="shared" si="117"/>
        <v/>
      </c>
      <c r="R106" s="3" t="str">
        <f t="shared" si="118"/>
        <v/>
      </c>
      <c r="S106" s="3" t="str">
        <f t="shared" si="119"/>
        <v/>
      </c>
      <c r="T106" s="3" t="str">
        <f t="shared" si="120"/>
        <v/>
      </c>
      <c r="U106" s="3" t="str">
        <f t="shared" si="121"/>
        <v/>
      </c>
      <c r="V106" s="3" t="str">
        <f t="shared" si="122"/>
        <v/>
      </c>
      <c r="W106" s="3" t="str">
        <f t="shared" si="123"/>
        <v/>
      </c>
      <c r="X106" s="3" t="str">
        <f t="shared" si="124"/>
        <v/>
      </c>
      <c r="Y106" s="3" t="str">
        <f t="shared" si="125"/>
        <v/>
      </c>
      <c r="Z106" s="3" t="str">
        <f t="shared" si="74"/>
        <v>Outro</v>
      </c>
    </row>
    <row r="107" spans="2:26" ht="15" customHeight="1" x14ac:dyDescent="0.25">
      <c r="B107" s="77" t="str">
        <f>IF('DETALHE GANHOS E GASTOS'!B106&lt;&gt;"",'DETALHE GANHOS E GASTOS'!B106,"")</f>
        <v>6.8.5</v>
      </c>
      <c r="C107" s="48" t="str">
        <f>IF('DETALHE GANHOS E GASTOS'!C106&lt;&gt;"",'DETALHE GANHOS E GASTOS'!C106,"")</f>
        <v/>
      </c>
      <c r="D107" s="87" t="str">
        <f>IFERROR(INDEX('DETALHE GANHOS E GASTOS'!$C$14:$H$123,MATCH($C107,'DETALHE GANHOS E GASTOS'!$C$14:$C$123,0),4),"")</f>
        <v/>
      </c>
      <c r="E107" s="87" t="str">
        <f>IFERROR(INDEX('DETALHE GANHOS E GASTOS'!$C$14:$H$123,MATCH($C107,'DETALHE GANHOS E GASTOS'!$C$14:$C$123,0),5),"")</f>
        <v/>
      </c>
      <c r="F107" s="87" t="str">
        <f>IFERROR(INDEX('DETALHE GANHOS E GASTOS'!$C$14:$H$123,MATCH($C107,'DETALHE GANHOS E GASTOS'!$C$14:$C$123,0),6),"")</f>
        <v/>
      </c>
      <c r="G107" s="308"/>
      <c r="H107" s="61" t="str">
        <f t="shared" si="58"/>
        <v/>
      </c>
      <c r="J107" s="144" t="str">
        <f t="shared" si="38"/>
        <v/>
      </c>
      <c r="K107" s="3" t="str">
        <f t="shared" si="111"/>
        <v/>
      </c>
      <c r="L107" s="3" t="str">
        <f t="shared" si="112"/>
        <v/>
      </c>
      <c r="M107" s="3" t="str">
        <f t="shared" si="113"/>
        <v/>
      </c>
      <c r="N107" s="3" t="str">
        <f t="shared" si="114"/>
        <v/>
      </c>
      <c r="O107" s="3" t="str">
        <f t="shared" si="115"/>
        <v/>
      </c>
      <c r="P107" s="3" t="str">
        <f t="shared" si="116"/>
        <v/>
      </c>
      <c r="Q107" s="3" t="str">
        <f t="shared" si="117"/>
        <v/>
      </c>
      <c r="R107" s="3" t="str">
        <f t="shared" si="118"/>
        <v/>
      </c>
      <c r="S107" s="3" t="str">
        <f t="shared" si="119"/>
        <v/>
      </c>
      <c r="T107" s="3" t="str">
        <f t="shared" si="120"/>
        <v/>
      </c>
      <c r="U107" s="3" t="str">
        <f t="shared" si="121"/>
        <v/>
      </c>
      <c r="V107" s="3" t="str">
        <f t="shared" si="122"/>
        <v/>
      </c>
      <c r="W107" s="3" t="str">
        <f t="shared" si="123"/>
        <v/>
      </c>
      <c r="X107" s="3" t="str">
        <f t="shared" si="124"/>
        <v/>
      </c>
      <c r="Y107" s="3" t="str">
        <f t="shared" si="125"/>
        <v/>
      </c>
      <c r="Z107" s="3" t="str">
        <f t="shared" si="74"/>
        <v>Outro</v>
      </c>
    </row>
    <row r="108" spans="2:26" ht="15" customHeight="1" x14ac:dyDescent="0.25">
      <c r="B108" s="77" t="str">
        <f>IF('DETALHE GANHOS E GASTOS'!B107&lt;&gt;"",'DETALHE GANHOS E GASTOS'!B107,"")</f>
        <v>6.8.6</v>
      </c>
      <c r="C108" s="48" t="str">
        <f>IF('DETALHE GANHOS E GASTOS'!C107&lt;&gt;"",'DETALHE GANHOS E GASTOS'!C107,"")</f>
        <v/>
      </c>
      <c r="D108" s="87" t="str">
        <f>IFERROR(INDEX('DETALHE GANHOS E GASTOS'!$C$14:$H$123,MATCH($C108,'DETALHE GANHOS E GASTOS'!$C$14:$C$123,0),4),"")</f>
        <v/>
      </c>
      <c r="E108" s="87" t="str">
        <f>IFERROR(INDEX('DETALHE GANHOS E GASTOS'!$C$14:$H$123,MATCH($C108,'DETALHE GANHOS E GASTOS'!$C$14:$C$123,0),5),"")</f>
        <v/>
      </c>
      <c r="F108" s="87" t="str">
        <f>IFERROR(INDEX('DETALHE GANHOS E GASTOS'!$C$14:$H$123,MATCH($C108,'DETALHE GANHOS E GASTOS'!$C$14:$C$123,0),6),"")</f>
        <v/>
      </c>
      <c r="G108" s="308"/>
      <c r="H108" s="61" t="str">
        <f t="shared" si="58"/>
        <v/>
      </c>
      <c r="J108" s="144" t="str">
        <f t="shared" si="38"/>
        <v/>
      </c>
      <c r="K108" s="3" t="str">
        <f t="shared" si="111"/>
        <v/>
      </c>
      <c r="L108" s="3" t="str">
        <f t="shared" si="112"/>
        <v/>
      </c>
      <c r="M108" s="3" t="str">
        <f t="shared" si="113"/>
        <v/>
      </c>
      <c r="N108" s="3" t="str">
        <f t="shared" si="114"/>
        <v/>
      </c>
      <c r="O108" s="3" t="str">
        <f t="shared" si="115"/>
        <v/>
      </c>
      <c r="P108" s="3" t="str">
        <f t="shared" si="116"/>
        <v/>
      </c>
      <c r="Q108" s="3" t="str">
        <f t="shared" si="117"/>
        <v/>
      </c>
      <c r="R108" s="3" t="str">
        <f t="shared" si="118"/>
        <v/>
      </c>
      <c r="S108" s="3" t="str">
        <f t="shared" si="119"/>
        <v/>
      </c>
      <c r="T108" s="3" t="str">
        <f t="shared" si="120"/>
        <v/>
      </c>
      <c r="U108" s="3" t="str">
        <f t="shared" si="121"/>
        <v/>
      </c>
      <c r="V108" s="3" t="str">
        <f t="shared" si="122"/>
        <v/>
      </c>
      <c r="W108" s="3" t="str">
        <f t="shared" si="123"/>
        <v/>
      </c>
      <c r="X108" s="3" t="str">
        <f t="shared" si="124"/>
        <v/>
      </c>
      <c r="Y108" s="3" t="str">
        <f t="shared" si="125"/>
        <v/>
      </c>
      <c r="Z108" s="3" t="str">
        <f t="shared" si="74"/>
        <v>Outro</v>
      </c>
    </row>
    <row r="109" spans="2:26" ht="15" customHeight="1" x14ac:dyDescent="0.25">
      <c r="B109" s="77" t="str">
        <f>IF('DETALHE GANHOS E GASTOS'!B108&lt;&gt;"",'DETALHE GANHOS E GASTOS'!B108,"")</f>
        <v>6.8.7</v>
      </c>
      <c r="C109" s="48" t="str">
        <f>IF('DETALHE GANHOS E GASTOS'!C108&lt;&gt;"",'DETALHE GANHOS E GASTOS'!C108,"")</f>
        <v/>
      </c>
      <c r="D109" s="87" t="str">
        <f>IFERROR(INDEX('DETALHE GANHOS E GASTOS'!$C$14:$H$123,MATCH($C109,'DETALHE GANHOS E GASTOS'!$C$14:$C$123,0),4),"")</f>
        <v/>
      </c>
      <c r="E109" s="87" t="str">
        <f>IFERROR(INDEX('DETALHE GANHOS E GASTOS'!$C$14:$H$123,MATCH($C109,'DETALHE GANHOS E GASTOS'!$C$14:$C$123,0),5),"")</f>
        <v/>
      </c>
      <c r="F109" s="87" t="str">
        <f>IFERROR(INDEX('DETALHE GANHOS E GASTOS'!$C$14:$H$123,MATCH($C109,'DETALHE GANHOS E GASTOS'!$C$14:$C$123,0),6),"")</f>
        <v/>
      </c>
      <c r="G109" s="308"/>
      <c r="H109" s="61" t="str">
        <f t="shared" si="58"/>
        <v/>
      </c>
      <c r="J109" s="144" t="str">
        <f t="shared" si="38"/>
        <v/>
      </c>
      <c r="K109" s="3" t="str">
        <f t="shared" si="111"/>
        <v/>
      </c>
      <c r="L109" s="3" t="str">
        <f t="shared" si="112"/>
        <v/>
      </c>
      <c r="M109" s="3" t="str">
        <f t="shared" si="113"/>
        <v/>
      </c>
      <c r="N109" s="3" t="str">
        <f t="shared" si="114"/>
        <v/>
      </c>
      <c r="O109" s="3" t="str">
        <f t="shared" si="115"/>
        <v/>
      </c>
      <c r="P109" s="3" t="str">
        <f t="shared" si="116"/>
        <v/>
      </c>
      <c r="Q109" s="3" t="str">
        <f t="shared" si="117"/>
        <v/>
      </c>
      <c r="R109" s="3" t="str">
        <f t="shared" si="118"/>
        <v/>
      </c>
      <c r="S109" s="3" t="str">
        <f t="shared" si="119"/>
        <v/>
      </c>
      <c r="T109" s="3" t="str">
        <f t="shared" si="120"/>
        <v/>
      </c>
      <c r="U109" s="3" t="str">
        <f t="shared" si="121"/>
        <v/>
      </c>
      <c r="V109" s="3" t="str">
        <f t="shared" si="122"/>
        <v/>
      </c>
      <c r="W109" s="3" t="str">
        <f t="shared" si="123"/>
        <v/>
      </c>
      <c r="X109" s="3" t="str">
        <f t="shared" si="124"/>
        <v/>
      </c>
      <c r="Y109" s="3" t="str">
        <f t="shared" si="125"/>
        <v/>
      </c>
      <c r="Z109" s="3" t="str">
        <f t="shared" si="74"/>
        <v>Outro</v>
      </c>
    </row>
    <row r="110" spans="2:26" ht="15" customHeight="1" x14ac:dyDescent="0.25">
      <c r="B110" s="77" t="str">
        <f>IF('DETALHE GANHOS E GASTOS'!B109&lt;&gt;"",'DETALHE GANHOS E GASTOS'!B109,"")</f>
        <v>6.8.8</v>
      </c>
      <c r="C110" s="48" t="str">
        <f>IF('DETALHE GANHOS E GASTOS'!C109&lt;&gt;"",'DETALHE GANHOS E GASTOS'!C109,"")</f>
        <v/>
      </c>
      <c r="D110" s="87" t="str">
        <f>IFERROR(INDEX('DETALHE GANHOS E GASTOS'!$C$14:$H$123,MATCH($C110,'DETALHE GANHOS E GASTOS'!$C$14:$C$123,0),4),"")</f>
        <v/>
      </c>
      <c r="E110" s="87" t="str">
        <f>IFERROR(INDEX('DETALHE GANHOS E GASTOS'!$C$14:$H$123,MATCH($C110,'DETALHE GANHOS E GASTOS'!$C$14:$C$123,0),5),"")</f>
        <v/>
      </c>
      <c r="F110" s="87" t="str">
        <f>IFERROR(INDEX('DETALHE GANHOS E GASTOS'!$C$14:$H$123,MATCH($C110,'DETALHE GANHOS E GASTOS'!$C$14:$C$123,0),6),"")</f>
        <v/>
      </c>
      <c r="G110" s="308"/>
      <c r="H110" s="61" t="str">
        <f t="shared" si="58"/>
        <v/>
      </c>
      <c r="J110" s="144" t="str">
        <f t="shared" si="38"/>
        <v/>
      </c>
      <c r="K110" s="3" t="str">
        <f t="shared" si="111"/>
        <v/>
      </c>
      <c r="L110" s="3" t="str">
        <f t="shared" si="112"/>
        <v/>
      </c>
      <c r="M110" s="3" t="str">
        <f t="shared" si="113"/>
        <v/>
      </c>
      <c r="N110" s="3" t="str">
        <f t="shared" si="114"/>
        <v/>
      </c>
      <c r="O110" s="3" t="str">
        <f t="shared" si="115"/>
        <v/>
      </c>
      <c r="P110" s="3" t="str">
        <f t="shared" si="116"/>
        <v/>
      </c>
      <c r="Q110" s="3" t="str">
        <f t="shared" si="117"/>
        <v/>
      </c>
      <c r="R110" s="3" t="str">
        <f t="shared" si="118"/>
        <v/>
      </c>
      <c r="S110" s="3" t="str">
        <f t="shared" si="119"/>
        <v/>
      </c>
      <c r="T110" s="3" t="str">
        <f t="shared" si="120"/>
        <v/>
      </c>
      <c r="U110" s="3" t="str">
        <f t="shared" si="121"/>
        <v/>
      </c>
      <c r="V110" s="3" t="str">
        <f t="shared" si="122"/>
        <v/>
      </c>
      <c r="W110" s="3" t="str">
        <f t="shared" si="123"/>
        <v/>
      </c>
      <c r="X110" s="3" t="str">
        <f t="shared" si="124"/>
        <v/>
      </c>
      <c r="Y110" s="3" t="str">
        <f t="shared" si="125"/>
        <v/>
      </c>
      <c r="Z110" s="3" t="str">
        <f t="shared" si="74"/>
        <v>Outro</v>
      </c>
    </row>
    <row r="111" spans="2:26" ht="15" customHeight="1" x14ac:dyDescent="0.25">
      <c r="B111" s="77" t="str">
        <f>IF('DETALHE GANHOS E GASTOS'!B110&lt;&gt;"",'DETALHE GANHOS E GASTOS'!B110,"")</f>
        <v>6.8.9</v>
      </c>
      <c r="C111" s="48" t="str">
        <f>IF('DETALHE GANHOS E GASTOS'!C110&lt;&gt;"",'DETALHE GANHOS E GASTOS'!C110,"")</f>
        <v>Outros gastos operacionais</v>
      </c>
      <c r="D111" s="87">
        <f>IFERROR(INDEX('DETALHE GANHOS E GASTOS'!$C$14:$H$123,MATCH($C111,'DETALHE GANHOS E GASTOS'!$C$14:$C$123,0),4),"")</f>
        <v>0</v>
      </c>
      <c r="E111" s="87">
        <f>IFERROR(INDEX('DETALHE GANHOS E GASTOS'!$C$14:$H$123,MATCH($C111,'DETALHE GANHOS E GASTOS'!$C$14:$C$123,0),5),"")</f>
        <v>0</v>
      </c>
      <c r="F111" s="87">
        <f>IFERROR(INDEX('DETALHE GANHOS E GASTOS'!$C$14:$H$123,MATCH($C111,'DETALHE GANHOS E GASTOS'!$C$14:$C$123,0),6),"")</f>
        <v>0</v>
      </c>
      <c r="G111" s="308"/>
      <c r="H111" s="61" t="str">
        <f t="shared" si="58"/>
        <v/>
      </c>
      <c r="J111" s="144" t="str">
        <f t="shared" si="38"/>
        <v/>
      </c>
      <c r="K111" s="3" t="str">
        <f t="shared" si="111"/>
        <v/>
      </c>
      <c r="L111" s="3" t="str">
        <f t="shared" si="112"/>
        <v/>
      </c>
      <c r="M111" s="3" t="str">
        <f t="shared" si="113"/>
        <v/>
      </c>
      <c r="N111" s="3" t="str">
        <f t="shared" si="114"/>
        <v/>
      </c>
      <c r="O111" s="3" t="str">
        <f t="shared" si="115"/>
        <v/>
      </c>
      <c r="P111" s="3" t="str">
        <f t="shared" si="116"/>
        <v/>
      </c>
      <c r="Q111" s="3" t="str">
        <f t="shared" si="117"/>
        <v/>
      </c>
      <c r="R111" s="3" t="str">
        <f t="shared" si="118"/>
        <v/>
      </c>
      <c r="S111" s="3" t="str">
        <f t="shared" si="119"/>
        <v/>
      </c>
      <c r="T111" s="3" t="str">
        <f t="shared" si="120"/>
        <v/>
      </c>
      <c r="U111" s="3" t="str">
        <f t="shared" si="121"/>
        <v/>
      </c>
      <c r="V111" s="3" t="str">
        <f t="shared" si="122"/>
        <v/>
      </c>
      <c r="W111" s="3" t="str">
        <f t="shared" si="123"/>
        <v/>
      </c>
      <c r="X111" s="3" t="str">
        <f t="shared" si="124"/>
        <v/>
      </c>
      <c r="Y111" s="3" t="str">
        <f t="shared" si="125"/>
        <v/>
      </c>
      <c r="Z111" s="3" t="str">
        <f t="shared" si="74"/>
        <v>Outro</v>
      </c>
    </row>
    <row r="112" spans="2:26" ht="15" customHeight="1" x14ac:dyDescent="0.25">
      <c r="B112" s="77" t="str">
        <f>IF('DETALHE GANHOS E GASTOS'!B111&lt;&gt;"",'DETALHE GANHOS E GASTOS'!B111,"")</f>
        <v/>
      </c>
      <c r="C112" s="48" t="str">
        <f>IF('DETALHE GANHOS E GASTOS'!C111&lt;&gt;"",'DETALHE GANHOS E GASTOS'!C111,"")</f>
        <v/>
      </c>
      <c r="D112" s="87" t="str">
        <f>IFERROR(INDEX('DETALHE GANHOS E GASTOS'!$C$14:$H$123,MATCH($C112,'DETALHE GANHOS E GASTOS'!$C$14:$C$123,0),4),"")</f>
        <v/>
      </c>
      <c r="E112" s="87" t="str">
        <f>IFERROR(INDEX('DETALHE GANHOS E GASTOS'!$C$14:$H$123,MATCH($C112,'DETALHE GANHOS E GASTOS'!$C$14:$C$123,0),5),"")</f>
        <v/>
      </c>
      <c r="F112" s="87" t="str">
        <f>IFERROR(INDEX('DETALHE GANHOS E GASTOS'!$C$14:$H$123,MATCH($C112,'DETALHE GANHOS E GASTOS'!$C$14:$C$123,0),6),"")</f>
        <v/>
      </c>
      <c r="G112" s="308"/>
      <c r="H112" s="61" t="str">
        <f t="shared" si="58"/>
        <v/>
      </c>
      <c r="J112" s="144" t="str">
        <f t="shared" si="38"/>
        <v/>
      </c>
      <c r="K112" s="3" t="str">
        <f t="shared" si="111"/>
        <v/>
      </c>
      <c r="L112" s="3" t="str">
        <f t="shared" si="112"/>
        <v/>
      </c>
      <c r="M112" s="3" t="str">
        <f t="shared" si="113"/>
        <v/>
      </c>
      <c r="N112" s="3" t="str">
        <f t="shared" si="114"/>
        <v/>
      </c>
      <c r="O112" s="3" t="str">
        <f t="shared" si="115"/>
        <v/>
      </c>
      <c r="P112" s="3" t="str">
        <f t="shared" si="116"/>
        <v/>
      </c>
      <c r="Q112" s="3" t="str">
        <f t="shared" si="117"/>
        <v/>
      </c>
      <c r="R112" s="3" t="str">
        <f t="shared" si="118"/>
        <v/>
      </c>
      <c r="S112" s="3" t="str">
        <f t="shared" si="119"/>
        <v/>
      </c>
      <c r="T112" s="3" t="str">
        <f t="shared" si="120"/>
        <v/>
      </c>
      <c r="U112" s="3" t="str">
        <f t="shared" si="121"/>
        <v/>
      </c>
      <c r="V112" s="3" t="str">
        <f t="shared" si="122"/>
        <v/>
      </c>
      <c r="W112" s="3" t="str">
        <f t="shared" si="123"/>
        <v/>
      </c>
      <c r="X112" s="3" t="str">
        <f t="shared" si="124"/>
        <v/>
      </c>
      <c r="Y112" s="3" t="str">
        <f t="shared" si="125"/>
        <v/>
      </c>
      <c r="Z112" s="3" t="str">
        <f t="shared" si="74"/>
        <v>Outro</v>
      </c>
    </row>
    <row r="113" spans="1:26" ht="15" customHeight="1" x14ac:dyDescent="0.25">
      <c r="B113" s="77" t="str">
        <f>IF('DETALHE GANHOS E GASTOS'!B112&lt;&gt;"",'DETALHE GANHOS E GASTOS'!B112,"")</f>
        <v/>
      </c>
      <c r="C113" s="48" t="str">
        <f>IF('DETALHE GANHOS E GASTOS'!C112&lt;&gt;"",'DETALHE GANHOS E GASTOS'!C112,"")</f>
        <v/>
      </c>
      <c r="D113" s="87" t="str">
        <f>IFERROR(INDEX('DETALHE GANHOS E GASTOS'!$C$14:$H$123,MATCH($C113,'DETALHE GANHOS E GASTOS'!$C$14:$C$123,0),4),"")</f>
        <v/>
      </c>
      <c r="E113" s="87" t="str">
        <f>IFERROR(INDEX('DETALHE GANHOS E GASTOS'!$C$14:$H$123,MATCH($C113,'DETALHE GANHOS E GASTOS'!$C$14:$C$123,0),5),"")</f>
        <v/>
      </c>
      <c r="F113" s="87" t="str">
        <f>IFERROR(INDEX('DETALHE GANHOS E GASTOS'!$C$14:$H$123,MATCH($C113,'DETALHE GANHOS E GASTOS'!$C$14:$C$123,0),6),"")</f>
        <v/>
      </c>
      <c r="G113" s="308"/>
      <c r="H113" s="61" t="str">
        <f t="shared" si="58"/>
        <v/>
      </c>
      <c r="J113" s="144" t="str">
        <f t="shared" si="38"/>
        <v/>
      </c>
      <c r="K113" s="3" t="str">
        <f t="shared" si="111"/>
        <v/>
      </c>
      <c r="L113" s="3" t="str">
        <f t="shared" si="112"/>
        <v/>
      </c>
      <c r="M113" s="3" t="str">
        <f t="shared" si="113"/>
        <v/>
      </c>
      <c r="N113" s="3" t="str">
        <f t="shared" si="114"/>
        <v/>
      </c>
      <c r="O113" s="3" t="str">
        <f t="shared" si="115"/>
        <v/>
      </c>
      <c r="P113" s="3" t="str">
        <f t="shared" si="116"/>
        <v/>
      </c>
      <c r="Q113" s="3" t="str">
        <f t="shared" si="117"/>
        <v/>
      </c>
      <c r="R113" s="3" t="str">
        <f t="shared" si="118"/>
        <v/>
      </c>
      <c r="S113" s="3" t="str">
        <f t="shared" si="119"/>
        <v/>
      </c>
      <c r="T113" s="3" t="str">
        <f t="shared" si="120"/>
        <v/>
      </c>
      <c r="U113" s="3" t="str">
        <f t="shared" si="121"/>
        <v/>
      </c>
      <c r="V113" s="3" t="str">
        <f t="shared" si="122"/>
        <v/>
      </c>
      <c r="W113" s="3" t="str">
        <f t="shared" si="123"/>
        <v/>
      </c>
      <c r="X113" s="3" t="str">
        <f t="shared" si="124"/>
        <v/>
      </c>
      <c r="Y113" s="3" t="str">
        <f t="shared" si="125"/>
        <v/>
      </c>
      <c r="Z113" s="3" t="str">
        <f t="shared" si="74"/>
        <v>Outro</v>
      </c>
    </row>
    <row r="114" spans="1:26" ht="15" customHeight="1" x14ac:dyDescent="0.25">
      <c r="B114" s="73" t="str">
        <f>IF('DETALHE GANHOS E GASTOS'!B113&lt;&gt;"",'DETALHE GANHOS E GASTOS'!B113,"")</f>
        <v>6.9</v>
      </c>
      <c r="C114" s="53" t="str">
        <f>IF('DETALHE GANHOS E GASTOS'!C113&lt;&gt;"",'DETALHE GANHOS E GASTOS'!C113,"")</f>
        <v>GASTOS E PERDAS FINANCEIRAS</v>
      </c>
      <c r="D114" s="211">
        <f>SUM(D115:D124)</f>
        <v>0</v>
      </c>
      <c r="E114" s="211">
        <f t="shared" ref="E114" si="126">SUM(E115:E124)</f>
        <v>0</v>
      </c>
      <c r="F114" s="211">
        <f t="shared" ref="F114:G114" si="127">SUM(F115:F124)</f>
        <v>20720.490000000002</v>
      </c>
      <c r="G114" s="309">
        <f t="shared" si="127"/>
        <v>0</v>
      </c>
      <c r="H114" s="212">
        <f t="shared" si="58"/>
        <v>-1</v>
      </c>
    </row>
    <row r="115" spans="1:26" ht="15" customHeight="1" x14ac:dyDescent="0.25">
      <c r="B115" s="77" t="str">
        <f>IF('DETALHE GANHOS E GASTOS'!B114&lt;&gt;"",'DETALHE GANHOS E GASTOS'!B114,"")</f>
        <v>6.9.1</v>
      </c>
      <c r="C115" s="48" t="str">
        <f>IF('DETALHE GANHOS E GASTOS'!C114&lt;&gt;"",'DETALHE GANHOS E GASTOS'!C114,"")</f>
        <v>Juros suportados</v>
      </c>
      <c r="D115" s="87">
        <f>IFERROR(INDEX('DETALHE GANHOS E GASTOS'!$C$14:$H$123,MATCH($C115,'DETALHE GANHOS E GASTOS'!$C$14:$C$123,0),4),"")</f>
        <v>0</v>
      </c>
      <c r="E115" s="87">
        <f>IFERROR(INDEX('DETALHE GANHOS E GASTOS'!$C$14:$H$123,MATCH($C115,'DETALHE GANHOS E GASTOS'!$C$14:$C$123,0),5),"")</f>
        <v>0</v>
      </c>
      <c r="F115" s="87">
        <f>IFERROR(INDEX('DETALHE GANHOS E GASTOS'!$C$14:$H$123,MATCH($C115,'DETALHE GANHOS E GASTOS'!$C$14:$C$123,0),6),"")</f>
        <v>0</v>
      </c>
      <c r="G115" s="308"/>
      <c r="H115" s="61" t="str">
        <f t="shared" si="58"/>
        <v/>
      </c>
      <c r="J115" s="144" t="str">
        <f t="shared" si="38"/>
        <v/>
      </c>
      <c r="K115" s="3" t="str">
        <f t="shared" ref="K115:K124" si="128">IF($J115=MAX(J$16:J$18,J$20:J$30,J$32:J$67,J$69:J$75,J$77:J$82,J$84:J$94,J$96:J$101,J$103:J$113,J$115:J$124),"max1",$J115)</f>
        <v/>
      </c>
      <c r="L115" s="3" t="str">
        <f t="shared" ref="L115:L124" si="129">IF($K115=MAX(K$16:K$18,K$20:K$30,K$32:K$67,K$69:K$75,K$77:K$82,K$84:K$94,K$96:K$101,K$103:K$113,K$115:K$124),"max2",$K115)</f>
        <v/>
      </c>
      <c r="M115" s="3" t="str">
        <f t="shared" ref="M115:M124" si="130">IF($L115=MAX(L$16:L$18,L$20:L$30,L$32:L$67,L$69:L$75,L$77:L$82,L$84:L$94,L$96:L$101,L$103:L$113,L$115:L$124),"max3",$L115)</f>
        <v/>
      </c>
      <c r="N115" s="3" t="str">
        <f t="shared" ref="N115:N124" si="131">IF($M115=MAX(M$16:M$18,M$20:M$30,M$32:M$67,M$69:M$75,M$77:M$82,M$84:M$94,M$96:M$101,M$103:M$113,M$115:M$124),"max4",$M115)</f>
        <v/>
      </c>
      <c r="O115" s="3" t="str">
        <f t="shared" ref="O115:O124" si="132">IF($N115=MAX(N$16:N$18,N$20:N$30,N$32:N$67,N$69:N$75,N$77:N$82,N$84:N$94,N$96:N$101,N$103:N$113,N$115:N$124),"max5",$N115)</f>
        <v/>
      </c>
      <c r="P115" s="3" t="str">
        <f t="shared" ref="P115:P124" si="133">IF($O115=MAX(O$16:O$18,O$20:O$30,O$32:O$67,O$69:O$75,O$77:O$82,O$84:O$94,O$96:O$101,O$103:O$113,O$115:O$124),"max6",$O115)</f>
        <v/>
      </c>
      <c r="Q115" s="3" t="str">
        <f t="shared" ref="Q115:Q124" si="134">IF($P115=MAX(P$16:P$18,P$20:P$30,P$32:P$67,P$69:P$75,P$77:P$82,P$84:P$94,P$96:P$101,P$103:P$113,P$115:P$124),"max7",$P115)</f>
        <v/>
      </c>
      <c r="R115" s="3" t="str">
        <f t="shared" ref="R115:R124" si="135">IF($Q115=MAX(Q$16:Q$18,Q$20:Q$30,Q$32:Q$67,Q$69:Q$75,Q$77:Q$82,Q$84:Q$94,Q$96:Q$101,Q$103:Q$113,Q$115:Q$124),"max8",$Q115)</f>
        <v/>
      </c>
      <c r="S115" s="3" t="str">
        <f t="shared" ref="S115:S124" si="136">IF($R115=MAX(R$16:R$18,R$20:R$30,R$32:R$67,R$69:R$75,R$77:R$82,R$84:R$94,R$96:R$101,R$103:R$113,R$115:R$124),"max9",$R115)</f>
        <v/>
      </c>
      <c r="T115" s="3" t="str">
        <f t="shared" ref="T115:T124" si="137">IF($S115=MAX(S$16:S$18,S$20:S$30,S$32:S$67,S$69:S$75,S$77:S$82,S$84:S$94,S$96:S$101,S$103:S$113,S$115:S$124),"max10",$S115)</f>
        <v/>
      </c>
      <c r="U115" s="3" t="str">
        <f t="shared" ref="U115:U124" si="138">IF($T115=MAX(T$16:T$18,T$20:T$30,T$32:T$67,T$69:T$75,T$77:T$82,T$84:T$94,T$96:T$101,T$103:T$113,T$115:T$124),"max11",$T115)</f>
        <v/>
      </c>
      <c r="V115" s="3" t="str">
        <f t="shared" ref="V115:V124" si="139">IF($U115=MAX(U$16:U$18,U$20:U$30,U$32:U$67,U$69:U$75,U$77:U$82,U$84:U$94,U$96:U$101,U$103:U$113,U$115:U$124),"max12",$U115)</f>
        <v/>
      </c>
      <c r="W115" s="3" t="str">
        <f t="shared" ref="W115:W124" si="140">IF($V115=MAX(V$16:V$18,V$20:V$30,V$32:V$67,V$69:V$75,V$77:V$82,V$84:V$94,V$96:V$101,V$103:V$113,V$115:V$124),"max13",$V115)</f>
        <v/>
      </c>
      <c r="X115" s="3" t="str">
        <f t="shared" ref="X115:X124" si="141">IF($W115=MAX(W$16:W$18,W$20:W$30,W$32:W$67,W$69:W$75,W$77:W$82,W$84:W$94,W$96:W$101,W$103:W$113,W$115:W$124),"max14",$W115)</f>
        <v/>
      </c>
      <c r="Y115" s="3" t="str">
        <f t="shared" ref="Y115:Y124" si="142">IF($X115=MAX(X$16:X$18,X$20:X$30,X$32:X$67,X$69:X$75,X$77:X$82,X$84:X$94,X$96:X$101,X$103:X$113,X$115:X$124),"max15",$X115)</f>
        <v/>
      </c>
      <c r="Z115" s="3" t="str">
        <f t="shared" si="74"/>
        <v>Outro</v>
      </c>
    </row>
    <row r="116" spans="1:26" ht="15" customHeight="1" x14ac:dyDescent="0.25">
      <c r="B116" s="77" t="str">
        <f>IF('DETALHE GANHOS E GASTOS'!B115&lt;&gt;"",'DETALHE GANHOS E GASTOS'!B115,"")</f>
        <v>6.9.2</v>
      </c>
      <c r="C116" s="48" t="str">
        <f>IF('DETALHE GANHOS E GASTOS'!C115&lt;&gt;"",'DETALHE GANHOS E GASTOS'!C115,"")</f>
        <v>Despesas Bancaria*</v>
      </c>
      <c r="D116" s="87">
        <f>IFERROR(INDEX('DETALHE GANHOS E GASTOS'!$C$14:$H$123,MATCH($C116,'DETALHE GANHOS E GASTOS'!$C$14:$C$123,0),4),"")</f>
        <v>0</v>
      </c>
      <c r="E116" s="87">
        <f>IFERROR(INDEX('DETALHE GANHOS E GASTOS'!$C$14:$H$123,MATCH($C116,'DETALHE GANHOS E GASTOS'!$C$14:$C$123,0),5),"")</f>
        <v>0</v>
      </c>
      <c r="F116" s="87">
        <f>IFERROR(INDEX('DETALHE GANHOS E GASTOS'!$C$14:$H$123,MATCH($C116,'DETALHE GANHOS E GASTOS'!$C$14:$C$123,0),6),"")</f>
        <v>20720.490000000002</v>
      </c>
      <c r="G116" s="308"/>
      <c r="H116" s="61">
        <f t="shared" si="58"/>
        <v>-1</v>
      </c>
      <c r="J116" s="144" t="str">
        <f t="shared" si="38"/>
        <v/>
      </c>
      <c r="K116" s="3" t="str">
        <f t="shared" si="128"/>
        <v/>
      </c>
      <c r="L116" s="3" t="str">
        <f t="shared" si="129"/>
        <v/>
      </c>
      <c r="M116" s="3" t="str">
        <f t="shared" si="130"/>
        <v/>
      </c>
      <c r="N116" s="3" t="str">
        <f t="shared" si="131"/>
        <v/>
      </c>
      <c r="O116" s="3" t="str">
        <f t="shared" si="132"/>
        <v/>
      </c>
      <c r="P116" s="3" t="str">
        <f t="shared" si="133"/>
        <v/>
      </c>
      <c r="Q116" s="3" t="str">
        <f t="shared" si="134"/>
        <v/>
      </c>
      <c r="R116" s="3" t="str">
        <f t="shared" si="135"/>
        <v/>
      </c>
      <c r="S116" s="3" t="str">
        <f t="shared" si="136"/>
        <v/>
      </c>
      <c r="T116" s="3" t="str">
        <f t="shared" si="137"/>
        <v/>
      </c>
      <c r="U116" s="3" t="str">
        <f t="shared" si="138"/>
        <v/>
      </c>
      <c r="V116" s="3" t="str">
        <f t="shared" si="139"/>
        <v/>
      </c>
      <c r="W116" s="3" t="str">
        <f t="shared" si="140"/>
        <v/>
      </c>
      <c r="X116" s="3" t="str">
        <f t="shared" si="141"/>
        <v/>
      </c>
      <c r="Y116" s="3" t="str">
        <f t="shared" si="142"/>
        <v/>
      </c>
      <c r="Z116" s="3" t="str">
        <f t="shared" si="74"/>
        <v>Outro</v>
      </c>
    </row>
    <row r="117" spans="1:26" ht="15" customHeight="1" x14ac:dyDescent="0.25">
      <c r="B117" s="77" t="str">
        <f>IF('DETALHE GANHOS E GASTOS'!B116&lt;&gt;"",'DETALHE GANHOS E GASTOS'!B116,"")</f>
        <v>6.9.3</v>
      </c>
      <c r="C117" s="48" t="str">
        <f>IF('DETALHE GANHOS E GASTOS'!C116&lt;&gt;"",'DETALHE GANHOS E GASTOS'!C116,"")</f>
        <v/>
      </c>
      <c r="D117" s="87" t="str">
        <f>IFERROR(INDEX('DETALHE GANHOS E GASTOS'!$C$14:$H$123,MATCH($C117,'DETALHE GANHOS E GASTOS'!$C$14:$C$123,0),4),"")</f>
        <v/>
      </c>
      <c r="E117" s="87" t="str">
        <f>IFERROR(INDEX('DETALHE GANHOS E GASTOS'!$C$14:$H$123,MATCH($C117,'DETALHE GANHOS E GASTOS'!$C$14:$C$123,0),5),"")</f>
        <v/>
      </c>
      <c r="F117" s="87" t="str">
        <f>IFERROR(INDEX('DETALHE GANHOS E GASTOS'!$C$14:$H$123,MATCH($C117,'DETALHE GANHOS E GASTOS'!$C$14:$C$123,0),6),"")</f>
        <v/>
      </c>
      <c r="G117" s="308"/>
      <c r="H117" s="61" t="str">
        <f t="shared" si="58"/>
        <v/>
      </c>
      <c r="J117" s="144" t="str">
        <f t="shared" si="38"/>
        <v/>
      </c>
      <c r="K117" s="3" t="str">
        <f t="shared" si="128"/>
        <v/>
      </c>
      <c r="L117" s="3" t="str">
        <f t="shared" si="129"/>
        <v/>
      </c>
      <c r="M117" s="3" t="str">
        <f t="shared" si="130"/>
        <v/>
      </c>
      <c r="N117" s="3" t="str">
        <f t="shared" si="131"/>
        <v/>
      </c>
      <c r="O117" s="3" t="str">
        <f t="shared" si="132"/>
        <v/>
      </c>
      <c r="P117" s="3" t="str">
        <f t="shared" si="133"/>
        <v/>
      </c>
      <c r="Q117" s="3" t="str">
        <f t="shared" si="134"/>
        <v/>
      </c>
      <c r="R117" s="3" t="str">
        <f t="shared" si="135"/>
        <v/>
      </c>
      <c r="S117" s="3" t="str">
        <f t="shared" si="136"/>
        <v/>
      </c>
      <c r="T117" s="3" t="str">
        <f t="shared" si="137"/>
        <v/>
      </c>
      <c r="U117" s="3" t="str">
        <f t="shared" si="138"/>
        <v/>
      </c>
      <c r="V117" s="3" t="str">
        <f t="shared" si="139"/>
        <v/>
      </c>
      <c r="W117" s="3" t="str">
        <f t="shared" si="140"/>
        <v/>
      </c>
      <c r="X117" s="3" t="str">
        <f t="shared" si="141"/>
        <v/>
      </c>
      <c r="Y117" s="3" t="str">
        <f t="shared" si="142"/>
        <v/>
      </c>
      <c r="Z117" s="3" t="str">
        <f t="shared" si="74"/>
        <v>Outro</v>
      </c>
    </row>
    <row r="118" spans="1:26" ht="15" customHeight="1" x14ac:dyDescent="0.25">
      <c r="B118" s="77" t="str">
        <f>IF('DETALHE GANHOS E GASTOS'!B117&lt;&gt;"",'DETALHE GANHOS E GASTOS'!B117,"")</f>
        <v>6.9.4</v>
      </c>
      <c r="C118" s="48" t="str">
        <f>IF('DETALHE GANHOS E GASTOS'!C117&lt;&gt;"",'DETALHE GANHOS E GASTOS'!C117,"")</f>
        <v>Diferenças de Câmbio desfavoráveis</v>
      </c>
      <c r="D118" s="87">
        <f>IFERROR(INDEX('DETALHE GANHOS E GASTOS'!$C$14:$H$123,MATCH($C118,'DETALHE GANHOS E GASTOS'!$C$14:$C$123,0),4),"")</f>
        <v>0</v>
      </c>
      <c r="E118" s="87">
        <f>IFERROR(INDEX('DETALHE GANHOS E GASTOS'!$C$14:$H$123,MATCH($C118,'DETALHE GANHOS E GASTOS'!$C$14:$C$123,0),5),"")</f>
        <v>0</v>
      </c>
      <c r="F118" s="87">
        <f>IFERROR(INDEX('DETALHE GANHOS E GASTOS'!$C$14:$H$123,MATCH($C118,'DETALHE GANHOS E GASTOS'!$C$14:$C$123,0),6),"")</f>
        <v>0</v>
      </c>
      <c r="G118" s="308"/>
      <c r="H118" s="61" t="str">
        <f t="shared" si="58"/>
        <v/>
      </c>
      <c r="J118" s="144" t="str">
        <f t="shared" si="38"/>
        <v/>
      </c>
      <c r="K118" s="3" t="str">
        <f t="shared" si="128"/>
        <v/>
      </c>
      <c r="L118" s="3" t="str">
        <f t="shared" si="129"/>
        <v/>
      </c>
      <c r="M118" s="3" t="str">
        <f t="shared" si="130"/>
        <v/>
      </c>
      <c r="N118" s="3" t="str">
        <f t="shared" si="131"/>
        <v/>
      </c>
      <c r="O118" s="3" t="str">
        <f t="shared" si="132"/>
        <v/>
      </c>
      <c r="P118" s="3" t="str">
        <f t="shared" si="133"/>
        <v/>
      </c>
      <c r="Q118" s="3" t="str">
        <f t="shared" si="134"/>
        <v/>
      </c>
      <c r="R118" s="3" t="str">
        <f t="shared" si="135"/>
        <v/>
      </c>
      <c r="S118" s="3" t="str">
        <f t="shared" si="136"/>
        <v/>
      </c>
      <c r="T118" s="3" t="str">
        <f t="shared" si="137"/>
        <v/>
      </c>
      <c r="U118" s="3" t="str">
        <f t="shared" si="138"/>
        <v/>
      </c>
      <c r="V118" s="3" t="str">
        <f t="shared" si="139"/>
        <v/>
      </c>
      <c r="W118" s="3" t="str">
        <f t="shared" si="140"/>
        <v/>
      </c>
      <c r="X118" s="3" t="str">
        <f t="shared" si="141"/>
        <v/>
      </c>
      <c r="Y118" s="3" t="str">
        <f t="shared" si="142"/>
        <v/>
      </c>
      <c r="Z118" s="3" t="str">
        <f t="shared" si="74"/>
        <v>Outro</v>
      </c>
    </row>
    <row r="119" spans="1:26" ht="15" customHeight="1" x14ac:dyDescent="0.25">
      <c r="B119" s="77" t="str">
        <f>IF('DETALHE GANHOS E GASTOS'!B118&lt;&gt;"",'DETALHE GANHOS E GASTOS'!B118,"")</f>
        <v>6.9.5</v>
      </c>
      <c r="C119" s="48" t="str">
        <f>IF('DETALHE GANHOS E GASTOS'!C118&lt;&gt;"",'DETALHE GANHOS E GASTOS'!C118,"")</f>
        <v>Descontos de pronto pagamento concedidos</v>
      </c>
      <c r="D119" s="87">
        <f>IFERROR(INDEX('DETALHE GANHOS E GASTOS'!$C$14:$H$123,MATCH($C119,'DETALHE GANHOS E GASTOS'!$C$14:$C$123,0),4),"")</f>
        <v>0</v>
      </c>
      <c r="E119" s="87">
        <f>IFERROR(INDEX('DETALHE GANHOS E GASTOS'!$C$14:$H$123,MATCH($C119,'DETALHE GANHOS E GASTOS'!$C$14:$C$123,0),5),"")</f>
        <v>0</v>
      </c>
      <c r="F119" s="87">
        <f>IFERROR(INDEX('DETALHE GANHOS E GASTOS'!$C$14:$H$123,MATCH($C119,'DETALHE GANHOS E GASTOS'!$C$14:$C$123,0),6),"")</f>
        <v>0</v>
      </c>
      <c r="G119" s="308"/>
      <c r="H119" s="61" t="str">
        <f t="shared" si="58"/>
        <v/>
      </c>
      <c r="J119" s="144" t="str">
        <f t="shared" si="38"/>
        <v/>
      </c>
      <c r="K119" s="3" t="str">
        <f t="shared" si="128"/>
        <v/>
      </c>
      <c r="L119" s="3" t="str">
        <f t="shared" si="129"/>
        <v/>
      </c>
      <c r="M119" s="3" t="str">
        <f t="shared" si="130"/>
        <v/>
      </c>
      <c r="N119" s="3" t="str">
        <f t="shared" si="131"/>
        <v/>
      </c>
      <c r="O119" s="3" t="str">
        <f t="shared" si="132"/>
        <v/>
      </c>
      <c r="P119" s="3" t="str">
        <f t="shared" si="133"/>
        <v/>
      </c>
      <c r="Q119" s="3" t="str">
        <f t="shared" si="134"/>
        <v/>
      </c>
      <c r="R119" s="3" t="str">
        <f t="shared" si="135"/>
        <v/>
      </c>
      <c r="S119" s="3" t="str">
        <f t="shared" si="136"/>
        <v/>
      </c>
      <c r="T119" s="3" t="str">
        <f t="shared" si="137"/>
        <v/>
      </c>
      <c r="U119" s="3" t="str">
        <f t="shared" si="138"/>
        <v/>
      </c>
      <c r="V119" s="3" t="str">
        <f t="shared" si="139"/>
        <v/>
      </c>
      <c r="W119" s="3" t="str">
        <f t="shared" si="140"/>
        <v/>
      </c>
      <c r="X119" s="3" t="str">
        <f t="shared" si="141"/>
        <v/>
      </c>
      <c r="Y119" s="3" t="str">
        <f t="shared" si="142"/>
        <v/>
      </c>
      <c r="Z119" s="3" t="str">
        <f t="shared" si="74"/>
        <v>Outro</v>
      </c>
    </row>
    <row r="120" spans="1:26" ht="15" customHeight="1" x14ac:dyDescent="0.25">
      <c r="B120" s="77" t="str">
        <f>IF('DETALHE GANHOS E GASTOS'!B119&lt;&gt;"",'DETALHE GANHOS E GASTOS'!B119,"")</f>
        <v>6.9.6</v>
      </c>
      <c r="C120" s="48" t="str">
        <f>IF('DETALHE GANHOS E GASTOS'!C119&lt;&gt;"",'DETALHE GANHOS E GASTOS'!C119,"")</f>
        <v/>
      </c>
      <c r="D120" s="87" t="str">
        <f>IFERROR(INDEX('DETALHE GANHOS E GASTOS'!$C$14:$H$123,MATCH($C120,'DETALHE GANHOS E GASTOS'!$C$14:$C$123,0),4),"")</f>
        <v/>
      </c>
      <c r="E120" s="87" t="str">
        <f>IFERROR(INDEX('DETALHE GANHOS E GASTOS'!$C$14:$H$123,MATCH($C120,'DETALHE GANHOS E GASTOS'!$C$14:$C$123,0),5),"")</f>
        <v/>
      </c>
      <c r="F120" s="87" t="str">
        <f>IFERROR(INDEX('DETALHE GANHOS E GASTOS'!$C$14:$H$123,MATCH($C120,'DETALHE GANHOS E GASTOS'!$C$14:$C$123,0),6),"")</f>
        <v/>
      </c>
      <c r="G120" s="308"/>
      <c r="H120" s="61" t="str">
        <f t="shared" si="58"/>
        <v/>
      </c>
      <c r="J120" s="144" t="str">
        <f t="shared" si="38"/>
        <v/>
      </c>
      <c r="K120" s="3" t="str">
        <f t="shared" si="128"/>
        <v/>
      </c>
      <c r="L120" s="3" t="str">
        <f t="shared" si="129"/>
        <v/>
      </c>
      <c r="M120" s="3" t="str">
        <f t="shared" si="130"/>
        <v/>
      </c>
      <c r="N120" s="3" t="str">
        <f t="shared" si="131"/>
        <v/>
      </c>
      <c r="O120" s="3" t="str">
        <f t="shared" si="132"/>
        <v/>
      </c>
      <c r="P120" s="3" t="str">
        <f t="shared" si="133"/>
        <v/>
      </c>
      <c r="Q120" s="3" t="str">
        <f t="shared" si="134"/>
        <v/>
      </c>
      <c r="R120" s="3" t="str">
        <f t="shared" si="135"/>
        <v/>
      </c>
      <c r="S120" s="3" t="str">
        <f t="shared" si="136"/>
        <v/>
      </c>
      <c r="T120" s="3" t="str">
        <f t="shared" si="137"/>
        <v/>
      </c>
      <c r="U120" s="3" t="str">
        <f t="shared" si="138"/>
        <v/>
      </c>
      <c r="V120" s="3" t="str">
        <f t="shared" si="139"/>
        <v/>
      </c>
      <c r="W120" s="3" t="str">
        <f t="shared" si="140"/>
        <v/>
      </c>
      <c r="X120" s="3" t="str">
        <f t="shared" si="141"/>
        <v/>
      </c>
      <c r="Y120" s="3" t="str">
        <f t="shared" si="142"/>
        <v/>
      </c>
      <c r="Z120" s="3" t="str">
        <f t="shared" si="74"/>
        <v>Outro</v>
      </c>
    </row>
    <row r="121" spans="1:26" ht="15" customHeight="1" x14ac:dyDescent="0.25">
      <c r="B121" s="77" t="str">
        <f>IF('DETALHE GANHOS E GASTOS'!B120&lt;&gt;"",'DETALHE GANHOS E GASTOS'!B120,"")</f>
        <v>6.9.7</v>
      </c>
      <c r="C121" s="48" t="str">
        <f>IF('DETALHE GANHOS E GASTOS'!C120&lt;&gt;"",'DETALHE GANHOS E GASTOS'!C120,"")</f>
        <v/>
      </c>
      <c r="D121" s="87" t="str">
        <f>IFERROR(INDEX('DETALHE GANHOS E GASTOS'!$C$14:$H$123,MATCH($C121,'DETALHE GANHOS E GASTOS'!$C$14:$C$123,0),4),"")</f>
        <v/>
      </c>
      <c r="E121" s="87" t="str">
        <f>IFERROR(INDEX('DETALHE GANHOS E GASTOS'!$C$14:$H$123,MATCH($C121,'DETALHE GANHOS E GASTOS'!$C$14:$C$123,0),5),"")</f>
        <v/>
      </c>
      <c r="F121" s="87" t="str">
        <f>IFERROR(INDEX('DETALHE GANHOS E GASTOS'!$C$14:$H$123,MATCH($C121,'DETALHE GANHOS E GASTOS'!$C$14:$C$123,0),6),"")</f>
        <v/>
      </c>
      <c r="G121" s="308"/>
      <c r="H121" s="61" t="str">
        <f t="shared" si="58"/>
        <v/>
      </c>
      <c r="J121" s="144" t="str">
        <f t="shared" si="38"/>
        <v/>
      </c>
      <c r="K121" s="3" t="str">
        <f t="shared" si="128"/>
        <v/>
      </c>
      <c r="L121" s="3" t="str">
        <f t="shared" si="129"/>
        <v/>
      </c>
      <c r="M121" s="3" t="str">
        <f t="shared" si="130"/>
        <v/>
      </c>
      <c r="N121" s="3" t="str">
        <f t="shared" si="131"/>
        <v/>
      </c>
      <c r="O121" s="3" t="str">
        <f t="shared" si="132"/>
        <v/>
      </c>
      <c r="P121" s="3" t="str">
        <f t="shared" si="133"/>
        <v/>
      </c>
      <c r="Q121" s="3" t="str">
        <f t="shared" si="134"/>
        <v/>
      </c>
      <c r="R121" s="3" t="str">
        <f t="shared" si="135"/>
        <v/>
      </c>
      <c r="S121" s="3" t="str">
        <f t="shared" si="136"/>
        <v/>
      </c>
      <c r="T121" s="3" t="str">
        <f t="shared" si="137"/>
        <v/>
      </c>
      <c r="U121" s="3" t="str">
        <f t="shared" si="138"/>
        <v/>
      </c>
      <c r="V121" s="3" t="str">
        <f t="shared" si="139"/>
        <v/>
      </c>
      <c r="W121" s="3" t="str">
        <f t="shared" si="140"/>
        <v/>
      </c>
      <c r="X121" s="3" t="str">
        <f t="shared" si="141"/>
        <v/>
      </c>
      <c r="Y121" s="3" t="str">
        <f t="shared" si="142"/>
        <v/>
      </c>
      <c r="Z121" s="3" t="str">
        <f t="shared" si="74"/>
        <v>Outro</v>
      </c>
    </row>
    <row r="122" spans="1:26" ht="15" customHeight="1" x14ac:dyDescent="0.25">
      <c r="B122" s="77" t="str">
        <f>IF('DETALHE GANHOS E GASTOS'!B121&lt;&gt;"",'DETALHE GANHOS E GASTOS'!B121,"")</f>
        <v>6.9.8</v>
      </c>
      <c r="C122" s="48" t="str">
        <f>IF('DETALHE GANHOS E GASTOS'!C121&lt;&gt;"",'DETALHE GANHOS E GASTOS'!C121,"")</f>
        <v>Outros gastos e perdas financeiras</v>
      </c>
      <c r="D122" s="87">
        <f>IFERROR(INDEX('DETALHE GANHOS E GASTOS'!$C$14:$H$123,MATCH($C122,'DETALHE GANHOS E GASTOS'!$C$14:$C$123,0),4),"")</f>
        <v>0</v>
      </c>
      <c r="E122" s="87">
        <f>IFERROR(INDEX('DETALHE GANHOS E GASTOS'!$C$14:$H$123,MATCH($C122,'DETALHE GANHOS E GASTOS'!$C$14:$C$123,0),5),"")</f>
        <v>0</v>
      </c>
      <c r="F122" s="87">
        <f>IFERROR(INDEX('DETALHE GANHOS E GASTOS'!$C$14:$H$123,MATCH($C122,'DETALHE GANHOS E GASTOS'!$C$14:$C$123,0),6),"")</f>
        <v>0</v>
      </c>
      <c r="G122" s="308"/>
      <c r="H122" s="61" t="str">
        <f t="shared" si="58"/>
        <v/>
      </c>
      <c r="J122" s="144" t="str">
        <f t="shared" si="38"/>
        <v/>
      </c>
      <c r="K122" s="3" t="str">
        <f t="shared" si="128"/>
        <v/>
      </c>
      <c r="L122" s="3" t="str">
        <f t="shared" si="129"/>
        <v/>
      </c>
      <c r="M122" s="3" t="str">
        <f t="shared" si="130"/>
        <v/>
      </c>
      <c r="N122" s="3" t="str">
        <f t="shared" si="131"/>
        <v/>
      </c>
      <c r="O122" s="3" t="str">
        <f t="shared" si="132"/>
        <v/>
      </c>
      <c r="P122" s="3" t="str">
        <f t="shared" si="133"/>
        <v/>
      </c>
      <c r="Q122" s="3" t="str">
        <f t="shared" si="134"/>
        <v/>
      </c>
      <c r="R122" s="3" t="str">
        <f t="shared" si="135"/>
        <v/>
      </c>
      <c r="S122" s="3" t="str">
        <f t="shared" si="136"/>
        <v/>
      </c>
      <c r="T122" s="3" t="str">
        <f t="shared" si="137"/>
        <v/>
      </c>
      <c r="U122" s="3" t="str">
        <f t="shared" si="138"/>
        <v/>
      </c>
      <c r="V122" s="3" t="str">
        <f t="shared" si="139"/>
        <v/>
      </c>
      <c r="W122" s="3" t="str">
        <f t="shared" si="140"/>
        <v/>
      </c>
      <c r="X122" s="3" t="str">
        <f t="shared" si="141"/>
        <v/>
      </c>
      <c r="Y122" s="3" t="str">
        <f t="shared" si="142"/>
        <v/>
      </c>
      <c r="Z122" s="3" t="str">
        <f t="shared" si="74"/>
        <v>Outro</v>
      </c>
    </row>
    <row r="123" spans="1:26" ht="15" customHeight="1" x14ac:dyDescent="0.25">
      <c r="B123" s="77" t="str">
        <f>IF('DETALHE GANHOS E GASTOS'!B122&lt;&gt;"",'DETALHE GANHOS E GASTOS'!B122,"")</f>
        <v/>
      </c>
      <c r="C123" s="48" t="str">
        <f>IF('DETALHE GANHOS E GASTOS'!C122&lt;&gt;"",'DETALHE GANHOS E GASTOS'!C122,"")</f>
        <v/>
      </c>
      <c r="D123" s="87" t="str">
        <f>IFERROR(INDEX('DETALHE GANHOS E GASTOS'!$C$14:$H$123,MATCH($C123,'DETALHE GANHOS E GASTOS'!$C$14:$C$123,0),4),"")</f>
        <v/>
      </c>
      <c r="E123" s="87" t="str">
        <f>IFERROR(INDEX('DETALHE GANHOS E GASTOS'!$C$14:$H$123,MATCH($C123,'DETALHE GANHOS E GASTOS'!$C$14:$C$123,0),5),"")</f>
        <v/>
      </c>
      <c r="F123" s="87" t="str">
        <f>IFERROR(INDEX('DETALHE GANHOS E GASTOS'!$C$14:$H$123,MATCH($C123,'DETALHE GANHOS E GASTOS'!$C$14:$C$123,0),6),"")</f>
        <v/>
      </c>
      <c r="G123" s="308"/>
      <c r="H123" s="61" t="str">
        <f t="shared" si="58"/>
        <v/>
      </c>
      <c r="J123" s="144" t="str">
        <f t="shared" si="38"/>
        <v/>
      </c>
      <c r="K123" s="3" t="str">
        <f t="shared" si="128"/>
        <v/>
      </c>
      <c r="L123" s="3" t="str">
        <f t="shared" si="129"/>
        <v/>
      </c>
      <c r="M123" s="3" t="str">
        <f t="shared" si="130"/>
        <v/>
      </c>
      <c r="N123" s="3" t="str">
        <f t="shared" si="131"/>
        <v/>
      </c>
      <c r="O123" s="3" t="str">
        <f t="shared" si="132"/>
        <v/>
      </c>
      <c r="P123" s="3" t="str">
        <f t="shared" si="133"/>
        <v/>
      </c>
      <c r="Q123" s="3" t="str">
        <f t="shared" si="134"/>
        <v/>
      </c>
      <c r="R123" s="3" t="str">
        <f t="shared" si="135"/>
        <v/>
      </c>
      <c r="S123" s="3" t="str">
        <f t="shared" si="136"/>
        <v/>
      </c>
      <c r="T123" s="3" t="str">
        <f t="shared" si="137"/>
        <v/>
      </c>
      <c r="U123" s="3" t="str">
        <f t="shared" si="138"/>
        <v/>
      </c>
      <c r="V123" s="3" t="str">
        <f t="shared" si="139"/>
        <v/>
      </c>
      <c r="W123" s="3" t="str">
        <f t="shared" si="140"/>
        <v/>
      </c>
      <c r="X123" s="3" t="str">
        <f t="shared" si="141"/>
        <v/>
      </c>
      <c r="Y123" s="3" t="str">
        <f t="shared" si="142"/>
        <v/>
      </c>
      <c r="Z123" s="3" t="str">
        <f t="shared" si="74"/>
        <v>Outro</v>
      </c>
    </row>
    <row r="124" spans="1:26" ht="15" customHeight="1" x14ac:dyDescent="0.25">
      <c r="B124" s="77" t="str">
        <f>IF('DETALHE GANHOS E GASTOS'!B123&lt;&gt;"",'DETALHE GANHOS E GASTOS'!B123,"")</f>
        <v/>
      </c>
      <c r="C124" s="48" t="str">
        <f>IF('DETALHE GANHOS E GASTOS'!C123&lt;&gt;"",'DETALHE GANHOS E GASTOS'!C123,"")</f>
        <v/>
      </c>
      <c r="D124" s="87" t="str">
        <f>IFERROR(INDEX('DETALHE GANHOS E GASTOS'!$C$14:$H$123,MATCH($C124,'DETALHE GANHOS E GASTOS'!$C$14:$C$123,0),4),"")</f>
        <v/>
      </c>
      <c r="E124" s="87" t="str">
        <f>IFERROR(INDEX('DETALHE GANHOS E GASTOS'!$C$14:$H$123,MATCH($C124,'DETALHE GANHOS E GASTOS'!$C$14:$C$123,0),5),"")</f>
        <v/>
      </c>
      <c r="F124" s="87" t="str">
        <f>IFERROR(INDEX('DETALHE GANHOS E GASTOS'!$C$14:$H$123,MATCH($C124,'DETALHE GANHOS E GASTOS'!$C$14:$C$123,0),6),"")</f>
        <v/>
      </c>
      <c r="G124" s="308"/>
      <c r="H124" s="61" t="str">
        <f t="shared" si="58"/>
        <v/>
      </c>
      <c r="J124" s="144" t="str">
        <f t="shared" si="38"/>
        <v/>
      </c>
      <c r="K124" s="3" t="str">
        <f t="shared" si="128"/>
        <v/>
      </c>
      <c r="L124" s="3" t="str">
        <f t="shared" si="129"/>
        <v/>
      </c>
      <c r="M124" s="3" t="str">
        <f t="shared" si="130"/>
        <v/>
      </c>
      <c r="N124" s="3" t="str">
        <f t="shared" si="131"/>
        <v/>
      </c>
      <c r="O124" s="3" t="str">
        <f t="shared" si="132"/>
        <v/>
      </c>
      <c r="P124" s="3" t="str">
        <f t="shared" si="133"/>
        <v/>
      </c>
      <c r="Q124" s="3" t="str">
        <f t="shared" si="134"/>
        <v/>
      </c>
      <c r="R124" s="3" t="str">
        <f t="shared" si="135"/>
        <v/>
      </c>
      <c r="S124" s="3" t="str">
        <f t="shared" si="136"/>
        <v/>
      </c>
      <c r="T124" s="3" t="str">
        <f t="shared" si="137"/>
        <v/>
      </c>
      <c r="U124" s="3" t="str">
        <f t="shared" si="138"/>
        <v/>
      </c>
      <c r="V124" s="3" t="str">
        <f t="shared" si="139"/>
        <v/>
      </c>
      <c r="W124" s="3" t="str">
        <f t="shared" si="140"/>
        <v/>
      </c>
      <c r="X124" s="3" t="str">
        <f t="shared" si="141"/>
        <v/>
      </c>
      <c r="Y124" s="3" t="str">
        <f t="shared" si="142"/>
        <v/>
      </c>
      <c r="Z124" s="3" t="str">
        <f t="shared" si="74"/>
        <v>Outro</v>
      </c>
    </row>
    <row r="125" spans="1:26" ht="21" customHeight="1" x14ac:dyDescent="0.25">
      <c r="B125" s="449" t="str">
        <f>IF('DETALHE GANHOS E GASTOS'!B124&lt;&gt;"",'DETALHE GANHOS E GASTOS'!B124,"")</f>
        <v>TOTAL DOS GASTOS</v>
      </c>
      <c r="C125" s="450" t="str">
        <f>IF('DETALHE GANHOS E GASTOS'!C124&lt;&gt;"",'DETALHE GANHOS E GASTOS'!C124,"")</f>
        <v/>
      </c>
      <c r="D125" s="118">
        <f>D15+D19+D31+D68+D76+D83+D95+D102+D114</f>
        <v>0</v>
      </c>
      <c r="E125" s="119">
        <f>E15+E19+E31+E68+E76+E83+E95+E102+E114</f>
        <v>0</v>
      </c>
      <c r="F125" s="119">
        <f>F15+F19+F31+F68+F76+F83+F95+F102+F114</f>
        <v>7143006.0300000003</v>
      </c>
      <c r="G125" s="119">
        <f>G15+G19+G31+G68+G76+G83+G95+G102+G114</f>
        <v>0</v>
      </c>
      <c r="H125" s="120">
        <f t="shared" si="58"/>
        <v>-1</v>
      </c>
    </row>
    <row r="126" spans="1:26" ht="15" customHeight="1" x14ac:dyDescent="0.25">
      <c r="A126" s="81"/>
      <c r="B126" s="81"/>
      <c r="C126" s="81"/>
      <c r="D126" s="81"/>
      <c r="E126" s="81"/>
      <c r="F126" s="81"/>
      <c r="G126" s="81"/>
      <c r="H126" s="81"/>
    </row>
    <row r="127" spans="1:26" ht="15" customHeight="1" x14ac:dyDescent="0.25">
      <c r="A127" s="81"/>
      <c r="B127" s="81"/>
      <c r="C127" s="81"/>
      <c r="D127" s="81"/>
      <c r="E127" s="81"/>
      <c r="F127" s="81"/>
      <c r="G127" s="122" t="s">
        <v>432</v>
      </c>
      <c r="H127" s="121" t="str">
        <f>IF(COVER!$K$6&lt;&gt;"",CONCATENATE("milhares ",COVER!$K$6),"")</f>
        <v>milhares MZN</v>
      </c>
    </row>
    <row r="128" spans="1:26" s="31" customFormat="1" ht="31.5" customHeight="1" x14ac:dyDescent="0.25">
      <c r="B128" s="67"/>
      <c r="C128" s="102"/>
      <c r="D128" s="68">
        <f>IF(E128&lt;&gt;"",E128-1,"")</f>
        <v>2019</v>
      </c>
      <c r="E128" s="68">
        <f>IF(F128&lt;&gt;"",F128-1,"")</f>
        <v>2020</v>
      </c>
      <c r="F128" s="68">
        <f>IF(G128&lt;&gt;"",G128-1,"")</f>
        <v>2021</v>
      </c>
      <c r="G128" s="69">
        <f>$G$3</f>
        <v>2022</v>
      </c>
      <c r="H128" s="70" t="str">
        <f>IF(AND(F128&lt;&gt;"",G128&lt;&gt;""),CONCATENATE("Variação % (",G128,"/",F128,")"),"")</f>
        <v>Variação % (2022/2021)</v>
      </c>
      <c r="J128" s="146"/>
    </row>
    <row r="129" spans="1:8" ht="15" customHeight="1" x14ac:dyDescent="0.25">
      <c r="A129" s="81"/>
      <c r="B129" s="81"/>
      <c r="C129" s="81"/>
      <c r="D129" s="81"/>
      <c r="E129" s="81"/>
      <c r="F129" s="81"/>
      <c r="H129" s="3"/>
    </row>
    <row r="130" spans="1:8" ht="21" customHeight="1" x14ac:dyDescent="0.25">
      <c r="B130" s="370" t="s">
        <v>423</v>
      </c>
      <c r="C130" s="370"/>
      <c r="D130" s="371"/>
      <c r="E130" s="371"/>
      <c r="F130" s="371"/>
      <c r="G130" s="371"/>
      <c r="H130" s="372"/>
    </row>
    <row r="131" spans="1:8" ht="15" customHeight="1" x14ac:dyDescent="0.25">
      <c r="B131" s="72"/>
      <c r="C131" s="51"/>
      <c r="D131" s="91"/>
      <c r="E131" s="91"/>
      <c r="F131" s="91"/>
      <c r="G131" s="180"/>
      <c r="H131" s="62"/>
    </row>
    <row r="132" spans="1:8" ht="15" customHeight="1" x14ac:dyDescent="0.25">
      <c r="B132" s="73" t="str">
        <f>IF('DETALHE GANHOS E GASTOS'!B131&lt;&gt;"",'DETALHE GANHOS E GASTOS'!B131,"")</f>
        <v>7.1</v>
      </c>
      <c r="C132" s="53" t="str">
        <f>IF('DETALHE GANHOS E GASTOS'!C131&lt;&gt;"",'DETALHE GANHOS E GASTOS'!C131,"")</f>
        <v>VENDAS</v>
      </c>
      <c r="D132" s="211">
        <f t="shared" ref="D132" si="143">SUM(D133:D143)</f>
        <v>0</v>
      </c>
      <c r="E132" s="211">
        <f t="shared" ref="E132" si="144">SUM(E133:E143)</f>
        <v>0</v>
      </c>
      <c r="F132" s="211">
        <f t="shared" ref="F132:G132" si="145">SUM(F133:F143)</f>
        <v>0</v>
      </c>
      <c r="G132" s="309">
        <f t="shared" si="145"/>
        <v>0</v>
      </c>
      <c r="H132" s="212" t="str">
        <f t="shared" ref="H132:H195" si="146">IFERROR(IF(AND(F132&lt;0,G132&lt;=0),-(G132-F132)/F132,IF(AND(F132&lt;0,G132&gt;0),-(G132-F132)/F132,(G132-F132)/F132)),"")</f>
        <v/>
      </c>
    </row>
    <row r="133" spans="1:8" ht="15" customHeight="1" x14ac:dyDescent="0.25">
      <c r="B133" s="77" t="str">
        <f>IF('DETALHE GANHOS E GASTOS'!B132&lt;&gt;"",'DETALHE GANHOS E GASTOS'!B132,"")</f>
        <v>7.1.1</v>
      </c>
      <c r="C133" s="48" t="str">
        <f>IF('DETALHE GANHOS E GASTOS'!C132&lt;&gt;"",'DETALHE GANHOS E GASTOS'!C132,"")</f>
        <v>Mercadorias</v>
      </c>
      <c r="D133" s="87">
        <f>IFERROR(INDEX('DETALHE GANHOS E GASTOS'!$C$131:$H$210,MATCH($C133,'DETALHE GANHOS E GASTOS'!$C$131:$C$210,0),4),"")</f>
        <v>0</v>
      </c>
      <c r="E133" s="87">
        <f>IFERROR(INDEX('DETALHE GANHOS E GASTOS'!$C$131:$H$210,MATCH($C133,'DETALHE GANHOS E GASTOS'!$C$131:$C$210,0),5),"")</f>
        <v>0</v>
      </c>
      <c r="F133" s="87">
        <f>IFERROR(INDEX('DETALHE GANHOS E GASTOS'!$C$131:$H$210,MATCH($C133,'DETALHE GANHOS E GASTOS'!$C$131:$C$210,0),6),"")</f>
        <v>0</v>
      </c>
      <c r="G133" s="308"/>
      <c r="H133" s="61" t="str">
        <f t="shared" si="146"/>
        <v/>
      </c>
    </row>
    <row r="134" spans="1:8" ht="15" customHeight="1" x14ac:dyDescent="0.25">
      <c r="B134" s="77" t="str">
        <f>IF('DETALHE GANHOS E GASTOS'!B133&lt;&gt;"",'DETALHE GANHOS E GASTOS'!B133,"")</f>
        <v>7.1.2</v>
      </c>
      <c r="C134" s="48" t="str">
        <f>IF('DETALHE GANHOS E GASTOS'!C133&lt;&gt;"",'DETALHE GANHOS E GASTOS'!C133,"")</f>
        <v>Produtos acabados e intermédios</v>
      </c>
      <c r="D134" s="87">
        <f>IFERROR(INDEX('DETALHE GANHOS E GASTOS'!$C$131:$H$210,MATCH($C134,'DETALHE GANHOS E GASTOS'!$C$131:$C$210,0),4),"")</f>
        <v>0</v>
      </c>
      <c r="E134" s="87">
        <f>IFERROR(INDEX('DETALHE GANHOS E GASTOS'!$C$131:$H$210,MATCH($C134,'DETALHE GANHOS E GASTOS'!$C$131:$C$210,0),5),"")</f>
        <v>0</v>
      </c>
      <c r="F134" s="87">
        <f>IFERROR(INDEX('DETALHE GANHOS E GASTOS'!$C$131:$H$210,MATCH($C134,'DETALHE GANHOS E GASTOS'!$C$131:$C$210,0),6),"")</f>
        <v>0</v>
      </c>
      <c r="G134" s="308"/>
      <c r="H134" s="61" t="str">
        <f t="shared" si="146"/>
        <v/>
      </c>
    </row>
    <row r="135" spans="1:8" ht="15" customHeight="1" x14ac:dyDescent="0.25">
      <c r="B135" s="77" t="str">
        <f>IF('DETALHE GANHOS E GASTOS'!B134&lt;&gt;"",'DETALHE GANHOS E GASTOS'!B134,"")</f>
        <v>7.1.3</v>
      </c>
      <c r="C135" s="48" t="str">
        <f>IF('DETALHE GANHOS E GASTOS'!C134&lt;&gt;"",'DETALHE GANHOS E GASTOS'!C134,"")</f>
        <v>Subprodutos, desperdícios, resíduos e refugos</v>
      </c>
      <c r="D135" s="87">
        <f>IFERROR(INDEX('DETALHE GANHOS E GASTOS'!$C$131:$H$210,MATCH($C135,'DETALHE GANHOS E GASTOS'!$C$131:$C$210,0),4),"")</f>
        <v>0</v>
      </c>
      <c r="E135" s="87">
        <f>IFERROR(INDEX('DETALHE GANHOS E GASTOS'!$C$131:$H$210,MATCH($C135,'DETALHE GANHOS E GASTOS'!$C$131:$C$210,0),5),"")</f>
        <v>0</v>
      </c>
      <c r="F135" s="87">
        <f>IFERROR(INDEX('DETALHE GANHOS E GASTOS'!$C$131:$H$210,MATCH($C135,'DETALHE GANHOS E GASTOS'!$C$131:$C$210,0),6),"")</f>
        <v>0</v>
      </c>
      <c r="G135" s="308"/>
      <c r="H135" s="61" t="str">
        <f t="shared" si="146"/>
        <v/>
      </c>
    </row>
    <row r="136" spans="1:8" ht="15" customHeight="1" x14ac:dyDescent="0.25">
      <c r="B136" s="77" t="str">
        <f>IF('DETALHE GANHOS E GASTOS'!B135&lt;&gt;"",'DETALHE GANHOS E GASTOS'!B135,"")</f>
        <v>7.1.4</v>
      </c>
      <c r="C136" s="48" t="str">
        <f>IF('DETALHE GANHOS E GASTOS'!C135&lt;&gt;"",'DETALHE GANHOS E GASTOS'!C135,"")</f>
        <v>Activos biológicos</v>
      </c>
      <c r="D136" s="87">
        <f>IFERROR(INDEX('DETALHE GANHOS E GASTOS'!$C$131:$H$210,MATCH($C136,'DETALHE GANHOS E GASTOS'!$C$131:$C$210,0),4),"")</f>
        <v>0</v>
      </c>
      <c r="E136" s="87">
        <f>IFERROR(INDEX('DETALHE GANHOS E GASTOS'!$C$131:$H$210,MATCH($C136,'DETALHE GANHOS E GASTOS'!$C$131:$C$210,0),5),"")</f>
        <v>0</v>
      </c>
      <c r="F136" s="87">
        <f>IFERROR(INDEX('DETALHE GANHOS E GASTOS'!$C$131:$H$210,MATCH($C136,'DETALHE GANHOS E GASTOS'!$C$131:$C$210,0),6),"")</f>
        <v>0</v>
      </c>
      <c r="G136" s="308"/>
      <c r="H136" s="61" t="str">
        <f t="shared" si="146"/>
        <v/>
      </c>
    </row>
    <row r="137" spans="1:8" ht="15" customHeight="1" x14ac:dyDescent="0.25">
      <c r="B137" s="77" t="str">
        <f>IF('DETALHE GANHOS E GASTOS'!B136&lt;&gt;"",'DETALHE GANHOS E GASTOS'!B136,"")</f>
        <v>7.1.5</v>
      </c>
      <c r="C137" s="48" t="str">
        <f>IF('DETALHE GANHOS E GASTOS'!C136&lt;&gt;"",'DETALHE GANHOS E GASTOS'!C136,"")</f>
        <v>IVA das vendas com imposto incluído</v>
      </c>
      <c r="D137" s="87">
        <f>IFERROR(INDEX('DETALHE GANHOS E GASTOS'!$C$131:$H$210,MATCH($C137,'DETALHE GANHOS E GASTOS'!$C$131:$C$210,0),4),"")</f>
        <v>0</v>
      </c>
      <c r="E137" s="87">
        <f>IFERROR(INDEX('DETALHE GANHOS E GASTOS'!$C$131:$H$210,MATCH($C137,'DETALHE GANHOS E GASTOS'!$C$131:$C$210,0),5),"")</f>
        <v>0</v>
      </c>
      <c r="F137" s="87">
        <f>IFERROR(INDEX('DETALHE GANHOS E GASTOS'!$C$131:$H$210,MATCH($C137,'DETALHE GANHOS E GASTOS'!$C$131:$C$210,0),6),"")</f>
        <v>0</v>
      </c>
      <c r="G137" s="308"/>
      <c r="H137" s="61" t="str">
        <f t="shared" si="146"/>
        <v/>
      </c>
    </row>
    <row r="138" spans="1:8" ht="15" customHeight="1" x14ac:dyDescent="0.25">
      <c r="B138" s="77" t="str">
        <f>IF('DETALHE GANHOS E GASTOS'!B137&lt;&gt;"",'DETALHE GANHOS E GASTOS'!B137,"")</f>
        <v>7.1.6</v>
      </c>
      <c r="C138" s="48" t="str">
        <f>IF('DETALHE GANHOS E GASTOS'!C137&lt;&gt;"",'DETALHE GANHOS E GASTOS'!C137,"")</f>
        <v>Devolução de vendas</v>
      </c>
      <c r="D138" s="87">
        <f>IFERROR(INDEX('DETALHE GANHOS E GASTOS'!$C$131:$H$210,MATCH($C138,'DETALHE GANHOS E GASTOS'!$C$131:$C$210,0),4),"")</f>
        <v>0</v>
      </c>
      <c r="E138" s="87">
        <f>IFERROR(INDEX('DETALHE GANHOS E GASTOS'!$C$131:$H$210,MATCH($C138,'DETALHE GANHOS E GASTOS'!$C$131:$C$210,0),5),"")</f>
        <v>0</v>
      </c>
      <c r="F138" s="87">
        <f>IFERROR(INDEX('DETALHE GANHOS E GASTOS'!$C$131:$H$210,MATCH($C138,'DETALHE GANHOS E GASTOS'!$C$131:$C$210,0),6),"")</f>
        <v>0</v>
      </c>
      <c r="G138" s="308"/>
      <c r="H138" s="61" t="str">
        <f t="shared" si="146"/>
        <v/>
      </c>
    </row>
    <row r="139" spans="1:8" ht="15" customHeight="1" x14ac:dyDescent="0.25">
      <c r="B139" s="77" t="str">
        <f>IF('DETALHE GANHOS E GASTOS'!B138&lt;&gt;"",'DETALHE GANHOS E GASTOS'!B138,"")</f>
        <v>7.1.7</v>
      </c>
      <c r="C139" s="48" t="str">
        <f>IF('DETALHE GANHOS E GASTOS'!C138&lt;&gt;"",'DETALHE GANHOS E GASTOS'!C138,"")</f>
        <v>Descontos e abatimentos</v>
      </c>
      <c r="D139" s="87">
        <f>IFERROR(INDEX('DETALHE GANHOS E GASTOS'!$C$131:$H$210,MATCH($C139,'DETALHE GANHOS E GASTOS'!$C$131:$C$210,0),4),"")</f>
        <v>0</v>
      </c>
      <c r="E139" s="87">
        <f>IFERROR(INDEX('DETALHE GANHOS E GASTOS'!$C$131:$H$210,MATCH($C139,'DETALHE GANHOS E GASTOS'!$C$131:$C$210,0),5),"")</f>
        <v>0</v>
      </c>
      <c r="F139" s="87">
        <f>IFERROR(INDEX('DETALHE GANHOS E GASTOS'!$C$131:$H$210,MATCH($C139,'DETALHE GANHOS E GASTOS'!$C$131:$C$210,0),6),"")</f>
        <v>0</v>
      </c>
      <c r="G139" s="308"/>
      <c r="H139" s="61" t="str">
        <f t="shared" si="146"/>
        <v/>
      </c>
    </row>
    <row r="140" spans="1:8" ht="15" customHeight="1" x14ac:dyDescent="0.25">
      <c r="B140" s="77" t="str">
        <f>IF('DETALHE GANHOS E GASTOS'!B139&lt;&gt;"",'DETALHE GANHOS E GASTOS'!B139,"")</f>
        <v>7.1.8</v>
      </c>
      <c r="C140" s="48" t="str">
        <f>IF('DETALHE GANHOS E GASTOS'!C139&lt;&gt;"",'DETALHE GANHOS E GASTOS'!C139,"")</f>
        <v/>
      </c>
      <c r="D140" s="87" t="str">
        <f>IFERROR(INDEX('DETALHE GANHOS E GASTOS'!$C$131:$H$210,MATCH($C140,'DETALHE GANHOS E GASTOS'!$C$131:$C$210,0),4),"")</f>
        <v/>
      </c>
      <c r="E140" s="87" t="str">
        <f>IFERROR(INDEX('DETALHE GANHOS E GASTOS'!$C$131:$H$210,MATCH($C140,'DETALHE GANHOS E GASTOS'!$C$131:$C$210,0),5),"")</f>
        <v/>
      </c>
      <c r="F140" s="87" t="str">
        <f>IFERROR(INDEX('DETALHE GANHOS E GASTOS'!$C$131:$H$210,MATCH($C140,'DETALHE GANHOS E GASTOS'!$C$131:$C$210,0),6),"")</f>
        <v/>
      </c>
      <c r="G140" s="308"/>
      <c r="H140" s="61" t="str">
        <f t="shared" si="146"/>
        <v/>
      </c>
    </row>
    <row r="141" spans="1:8" ht="15" customHeight="1" x14ac:dyDescent="0.25">
      <c r="B141" s="77" t="str">
        <f>IF('DETALHE GANHOS E GASTOS'!B140&lt;&gt;"",'DETALHE GANHOS E GASTOS'!B140,"")</f>
        <v>7.1.9</v>
      </c>
      <c r="C141" s="48" t="str">
        <f>IF('DETALHE GANHOS E GASTOS'!C140&lt;&gt;"",'DETALHE GANHOS E GASTOS'!C140,"")</f>
        <v/>
      </c>
      <c r="D141" s="87" t="str">
        <f>IFERROR(INDEX('DETALHE GANHOS E GASTOS'!$C$131:$H$210,MATCH($C141,'DETALHE GANHOS E GASTOS'!$C$131:$C$210,0),4),"")</f>
        <v/>
      </c>
      <c r="E141" s="87" t="str">
        <f>IFERROR(INDEX('DETALHE GANHOS E GASTOS'!$C$131:$H$210,MATCH($C141,'DETALHE GANHOS E GASTOS'!$C$131:$C$210,0),5),"")</f>
        <v/>
      </c>
      <c r="F141" s="87" t="str">
        <f>IFERROR(INDEX('DETALHE GANHOS E GASTOS'!$C$131:$H$210,MATCH($C141,'DETALHE GANHOS E GASTOS'!$C$131:$C$210,0),6),"")</f>
        <v/>
      </c>
      <c r="G141" s="308"/>
      <c r="H141" s="61" t="str">
        <f t="shared" si="146"/>
        <v/>
      </c>
    </row>
    <row r="142" spans="1:8" ht="15" customHeight="1" x14ac:dyDescent="0.25">
      <c r="B142" s="77" t="str">
        <f>IF('DETALHE GANHOS E GASTOS'!B141&lt;&gt;"",'DETALHE GANHOS E GASTOS'!B141,"")</f>
        <v/>
      </c>
      <c r="C142" s="48" t="str">
        <f>IF('DETALHE GANHOS E GASTOS'!C141&lt;&gt;"",'DETALHE GANHOS E GASTOS'!C141,"")</f>
        <v/>
      </c>
      <c r="D142" s="87" t="str">
        <f>IFERROR(INDEX('DETALHE GANHOS E GASTOS'!$C$131:$H$210,MATCH($C142,'DETALHE GANHOS E GASTOS'!$C$131:$C$210,0),4),"")</f>
        <v/>
      </c>
      <c r="E142" s="87" t="str">
        <f>IFERROR(INDEX('DETALHE GANHOS E GASTOS'!$C$131:$H$210,MATCH($C142,'DETALHE GANHOS E GASTOS'!$C$131:$C$210,0),5),"")</f>
        <v/>
      </c>
      <c r="F142" s="87" t="str">
        <f>IFERROR(INDEX('DETALHE GANHOS E GASTOS'!$C$131:$H$210,MATCH($C142,'DETALHE GANHOS E GASTOS'!$C$131:$C$210,0),6),"")</f>
        <v/>
      </c>
      <c r="G142" s="308"/>
      <c r="H142" s="61" t="str">
        <f t="shared" si="146"/>
        <v/>
      </c>
    </row>
    <row r="143" spans="1:8" ht="15" customHeight="1" x14ac:dyDescent="0.25">
      <c r="B143" s="77" t="str">
        <f>IF('DETALHE GANHOS E GASTOS'!B142&lt;&gt;"",'DETALHE GANHOS E GASTOS'!B142,"")</f>
        <v/>
      </c>
      <c r="C143" s="48" t="str">
        <f>IF('DETALHE GANHOS E GASTOS'!C142&lt;&gt;"",'DETALHE GANHOS E GASTOS'!C142,"")</f>
        <v/>
      </c>
      <c r="D143" s="87" t="str">
        <f>IFERROR(INDEX('DETALHE GANHOS E GASTOS'!$C$131:$H$210,MATCH($C143,'DETALHE GANHOS E GASTOS'!$C$131:$C$210,0),4),"")</f>
        <v/>
      </c>
      <c r="E143" s="87" t="str">
        <f>IFERROR(INDEX('DETALHE GANHOS E GASTOS'!$C$131:$H$210,MATCH($C143,'DETALHE GANHOS E GASTOS'!$C$131:$C$210,0),5),"")</f>
        <v/>
      </c>
      <c r="F143" s="87" t="str">
        <f>IFERROR(INDEX('DETALHE GANHOS E GASTOS'!$C$131:$H$210,MATCH($C143,'DETALHE GANHOS E GASTOS'!$C$131:$C$210,0),6),"")</f>
        <v/>
      </c>
      <c r="G143" s="308"/>
      <c r="H143" s="61" t="str">
        <f t="shared" si="146"/>
        <v/>
      </c>
    </row>
    <row r="144" spans="1:8" ht="15" customHeight="1" x14ac:dyDescent="0.25">
      <c r="B144" s="73" t="str">
        <f>IF('DETALHE GANHOS E GASTOS'!B143&lt;&gt;"",'DETALHE GANHOS E GASTOS'!B143,"")</f>
        <v>7.2</v>
      </c>
      <c r="C144" s="53" t="str">
        <f>IF('DETALHE GANHOS E GASTOS'!C143&lt;&gt;"",'DETALHE GANHOS E GASTOS'!C143,"")</f>
        <v>PRESTAÇÃO DE SERVIÇOS</v>
      </c>
      <c r="D144" s="211">
        <f t="shared" ref="D144" si="147">SUM(D145:D153)</f>
        <v>0</v>
      </c>
      <c r="E144" s="211">
        <f t="shared" ref="E144" si="148">SUM(E145:E153)</f>
        <v>0</v>
      </c>
      <c r="F144" s="211">
        <f t="shared" ref="F144:G144" si="149">SUM(F145:F153)</f>
        <v>732600</v>
      </c>
      <c r="G144" s="309">
        <f t="shared" si="149"/>
        <v>0</v>
      </c>
      <c r="H144" s="212">
        <f t="shared" si="146"/>
        <v>-1</v>
      </c>
    </row>
    <row r="145" spans="2:8" ht="15" customHeight="1" x14ac:dyDescent="0.25">
      <c r="B145" s="77" t="str">
        <f>IF('DETALHE GANHOS E GASTOS'!B144&lt;&gt;"",'DETALHE GANHOS E GASTOS'!B144,"")</f>
        <v>7.2.1</v>
      </c>
      <c r="C145" s="48" t="str">
        <f>IF('DETALHE GANHOS E GASTOS'!C144&lt;&gt;"",'DETALHE GANHOS E GASTOS'!C144,"")</f>
        <v>IVA da prestação de serviços com imposto incluído</v>
      </c>
      <c r="D145" s="87">
        <f>IFERROR(INDEX('DETALHE GANHOS E GASTOS'!$C$131:$H$210,MATCH($C145,'DETALHE GANHOS E GASTOS'!$C$131:$C$210,0),4),"")</f>
        <v>0</v>
      </c>
      <c r="E145" s="87">
        <f>IFERROR(INDEX('DETALHE GANHOS E GASTOS'!$C$131:$H$210,MATCH($C145,'DETALHE GANHOS E GASTOS'!$C$131:$C$210,0),5),"")</f>
        <v>0</v>
      </c>
      <c r="F145" s="87">
        <f>IFERROR(INDEX('DETALHE GANHOS E GASTOS'!$C$131:$H$210,MATCH($C145,'DETALHE GANHOS E GASTOS'!$C$131:$C$210,0),6),"")</f>
        <v>0</v>
      </c>
      <c r="G145" s="308"/>
      <c r="H145" s="61" t="str">
        <f t="shared" si="146"/>
        <v/>
      </c>
    </row>
    <row r="146" spans="2:8" ht="15" customHeight="1" x14ac:dyDescent="0.25">
      <c r="B146" s="77" t="str">
        <f>IF('DETALHE GANHOS E GASTOS'!B145&lt;&gt;"",'DETALHE GANHOS E GASTOS'!B145,"")</f>
        <v>7.2.2</v>
      </c>
      <c r="C146" s="48" t="str">
        <f>IF('DETALHE GANHOS E GASTOS'!C145&lt;&gt;"",'DETALHE GANHOS E GASTOS'!C145,"")</f>
        <v>Vendas de Servicos*</v>
      </c>
      <c r="D146" s="87">
        <f>IFERROR(INDEX('DETALHE GANHOS E GASTOS'!$C$131:$H$210,MATCH($C146,'DETALHE GANHOS E GASTOS'!$C$131:$C$210,0),4),"")</f>
        <v>0</v>
      </c>
      <c r="E146" s="87">
        <f>IFERROR(INDEX('DETALHE GANHOS E GASTOS'!$C$131:$H$210,MATCH($C146,'DETALHE GANHOS E GASTOS'!$C$131:$C$210,0),5),"")</f>
        <v>0</v>
      </c>
      <c r="F146" s="87">
        <f>IFERROR(INDEX('DETALHE GANHOS E GASTOS'!$C$131:$H$210,MATCH($C146,'DETALHE GANHOS E GASTOS'!$C$131:$C$210,0),6),"")</f>
        <v>732600</v>
      </c>
      <c r="G146" s="308"/>
      <c r="H146" s="61">
        <f t="shared" si="146"/>
        <v>-1</v>
      </c>
    </row>
    <row r="147" spans="2:8" ht="15" customHeight="1" x14ac:dyDescent="0.25">
      <c r="B147" s="77" t="str">
        <f>IF('DETALHE GANHOS E GASTOS'!B146&lt;&gt;"",'DETALHE GANHOS E GASTOS'!B146,"")</f>
        <v>7.2.3</v>
      </c>
      <c r="C147" s="48" t="str">
        <f>IF('DETALHE GANHOS E GASTOS'!C146&lt;&gt;"",'DETALHE GANHOS E GASTOS'!C146,"")</f>
        <v/>
      </c>
      <c r="D147" s="87" t="str">
        <f>IFERROR(INDEX('DETALHE GANHOS E GASTOS'!$C$131:$H$210,MATCH($C147,'DETALHE GANHOS E GASTOS'!$C$131:$C$210,0),4),"")</f>
        <v/>
      </c>
      <c r="E147" s="87" t="str">
        <f>IFERROR(INDEX('DETALHE GANHOS E GASTOS'!$C$131:$H$210,MATCH($C147,'DETALHE GANHOS E GASTOS'!$C$131:$C$210,0),5),"")</f>
        <v/>
      </c>
      <c r="F147" s="87" t="str">
        <f>IFERROR(INDEX('DETALHE GANHOS E GASTOS'!$C$131:$H$210,MATCH($C147,'DETALHE GANHOS E GASTOS'!$C$131:$C$210,0),6),"")</f>
        <v/>
      </c>
      <c r="G147" s="308"/>
      <c r="H147" s="61" t="str">
        <f t="shared" si="146"/>
        <v/>
      </c>
    </row>
    <row r="148" spans="2:8" ht="15" customHeight="1" x14ac:dyDescent="0.25">
      <c r="B148" s="77" t="str">
        <f>IF('DETALHE GANHOS E GASTOS'!B147&lt;&gt;"",'DETALHE GANHOS E GASTOS'!B147,"")</f>
        <v>7.2.4</v>
      </c>
      <c r="C148" s="48" t="str">
        <f>IF('DETALHE GANHOS E GASTOS'!C147&lt;&gt;"",'DETALHE GANHOS E GASTOS'!C147,"")</f>
        <v/>
      </c>
      <c r="D148" s="87" t="str">
        <f>IFERROR(INDEX('DETALHE GANHOS E GASTOS'!$C$131:$H$210,MATCH($C148,'DETALHE GANHOS E GASTOS'!$C$131:$C$210,0),4),"")</f>
        <v/>
      </c>
      <c r="E148" s="87" t="str">
        <f>IFERROR(INDEX('DETALHE GANHOS E GASTOS'!$C$131:$H$210,MATCH($C148,'DETALHE GANHOS E GASTOS'!$C$131:$C$210,0),5),"")</f>
        <v/>
      </c>
      <c r="F148" s="87" t="str">
        <f>IFERROR(INDEX('DETALHE GANHOS E GASTOS'!$C$131:$H$210,MATCH($C148,'DETALHE GANHOS E GASTOS'!$C$131:$C$210,0),6),"")</f>
        <v/>
      </c>
      <c r="G148" s="308"/>
      <c r="H148" s="61" t="str">
        <f t="shared" si="146"/>
        <v/>
      </c>
    </row>
    <row r="149" spans="2:8" ht="15" customHeight="1" x14ac:dyDescent="0.25">
      <c r="B149" s="77" t="str">
        <f>IF('DETALHE GANHOS E GASTOS'!B148&lt;&gt;"",'DETALHE GANHOS E GASTOS'!B148,"")</f>
        <v>7.2.5</v>
      </c>
      <c r="C149" s="48" t="str">
        <f>IF('DETALHE GANHOS E GASTOS'!C148&lt;&gt;"",'DETALHE GANHOS E GASTOS'!C148,"")</f>
        <v/>
      </c>
      <c r="D149" s="87" t="str">
        <f>IFERROR(INDEX('DETALHE GANHOS E GASTOS'!$C$131:$H$210,MATCH($C149,'DETALHE GANHOS E GASTOS'!$C$131:$C$210,0),4),"")</f>
        <v/>
      </c>
      <c r="E149" s="87" t="str">
        <f>IFERROR(INDEX('DETALHE GANHOS E GASTOS'!$C$131:$H$210,MATCH($C149,'DETALHE GANHOS E GASTOS'!$C$131:$C$210,0),5),"")</f>
        <v/>
      </c>
      <c r="F149" s="87" t="str">
        <f>IFERROR(INDEX('DETALHE GANHOS E GASTOS'!$C$131:$H$210,MATCH($C149,'DETALHE GANHOS E GASTOS'!$C$131:$C$210,0),6),"")</f>
        <v/>
      </c>
      <c r="G149" s="308"/>
      <c r="H149" s="61" t="str">
        <f t="shared" si="146"/>
        <v/>
      </c>
    </row>
    <row r="150" spans="2:8" ht="15" customHeight="1" x14ac:dyDescent="0.25">
      <c r="B150" s="77" t="str">
        <f>IF('DETALHE GANHOS E GASTOS'!B149&lt;&gt;"",'DETALHE GANHOS E GASTOS'!B149,"")</f>
        <v>7.2.6</v>
      </c>
      <c r="C150" s="48" t="str">
        <f>IF('DETALHE GANHOS E GASTOS'!C149&lt;&gt;"",'DETALHE GANHOS E GASTOS'!C149,"")</f>
        <v>Descontos e abatimentos</v>
      </c>
      <c r="D150" s="87">
        <f>IFERROR(INDEX('DETALHE GANHOS E GASTOS'!$C$131:$H$210,MATCH($C150,'DETALHE GANHOS E GASTOS'!$C$131:$C$210,0),4),"")</f>
        <v>0</v>
      </c>
      <c r="E150" s="87">
        <f>IFERROR(INDEX('DETALHE GANHOS E GASTOS'!$C$131:$H$210,MATCH($C150,'DETALHE GANHOS E GASTOS'!$C$131:$C$210,0),5),"")</f>
        <v>0</v>
      </c>
      <c r="F150" s="87">
        <f>IFERROR(INDEX('DETALHE GANHOS E GASTOS'!$C$131:$H$210,MATCH($C150,'DETALHE GANHOS E GASTOS'!$C$131:$C$210,0),6),"")</f>
        <v>0</v>
      </c>
      <c r="G150" s="308"/>
      <c r="H150" s="61" t="str">
        <f t="shared" si="146"/>
        <v/>
      </c>
    </row>
    <row r="151" spans="2:8" ht="15" customHeight="1" x14ac:dyDescent="0.25">
      <c r="B151" s="77" t="str">
        <f>IF('DETALHE GANHOS E GASTOS'!B150&lt;&gt;"",'DETALHE GANHOS E GASTOS'!B150,"")</f>
        <v/>
      </c>
      <c r="C151" s="48" t="str">
        <f>IF('DETALHE GANHOS E GASTOS'!C150&lt;&gt;"",'DETALHE GANHOS E GASTOS'!C150,"")</f>
        <v/>
      </c>
      <c r="D151" s="87" t="str">
        <f>IFERROR(INDEX('DETALHE GANHOS E GASTOS'!$C$131:$H$210,MATCH($C151,'DETALHE GANHOS E GASTOS'!$C$131:$C$210,0),4),"")</f>
        <v/>
      </c>
      <c r="E151" s="87" t="str">
        <f>IFERROR(INDEX('DETALHE GANHOS E GASTOS'!$C$131:$H$210,MATCH($C151,'DETALHE GANHOS E GASTOS'!$C$131:$C$210,0),5),"")</f>
        <v/>
      </c>
      <c r="F151" s="87" t="str">
        <f>IFERROR(INDEX('DETALHE GANHOS E GASTOS'!$C$131:$H$210,MATCH($C151,'DETALHE GANHOS E GASTOS'!$C$131:$C$210,0),6),"")</f>
        <v/>
      </c>
      <c r="G151" s="308"/>
      <c r="H151" s="61" t="str">
        <f t="shared" si="146"/>
        <v/>
      </c>
    </row>
    <row r="152" spans="2:8" ht="15" customHeight="1" x14ac:dyDescent="0.25">
      <c r="B152" s="77" t="str">
        <f>IF('DETALHE GANHOS E GASTOS'!B151&lt;&gt;"",'DETALHE GANHOS E GASTOS'!B151,"")</f>
        <v/>
      </c>
      <c r="C152" s="48" t="str">
        <f>IF('DETALHE GANHOS E GASTOS'!C151&lt;&gt;"",'DETALHE GANHOS E GASTOS'!C151,"")</f>
        <v/>
      </c>
      <c r="D152" s="87" t="str">
        <f>IFERROR(INDEX('DETALHE GANHOS E GASTOS'!$C$131:$H$210,MATCH($C152,'DETALHE GANHOS E GASTOS'!$C$131:$C$210,0),4),"")</f>
        <v/>
      </c>
      <c r="E152" s="87" t="str">
        <f>IFERROR(INDEX('DETALHE GANHOS E GASTOS'!$C$131:$H$210,MATCH($C152,'DETALHE GANHOS E GASTOS'!$C$131:$C$210,0),5),"")</f>
        <v/>
      </c>
      <c r="F152" s="87" t="str">
        <f>IFERROR(INDEX('DETALHE GANHOS E GASTOS'!$C$131:$H$210,MATCH($C152,'DETALHE GANHOS E GASTOS'!$C$131:$C$210,0),6),"")</f>
        <v/>
      </c>
      <c r="G152" s="308"/>
      <c r="H152" s="61" t="str">
        <f t="shared" si="146"/>
        <v/>
      </c>
    </row>
    <row r="153" spans="2:8" ht="15" customHeight="1" x14ac:dyDescent="0.25">
      <c r="B153" s="77" t="str">
        <f>IF('DETALHE GANHOS E GASTOS'!B152&lt;&gt;"",'DETALHE GANHOS E GASTOS'!B152,"")</f>
        <v/>
      </c>
      <c r="C153" s="48" t="str">
        <f>IF('DETALHE GANHOS E GASTOS'!C152&lt;&gt;"",'DETALHE GANHOS E GASTOS'!C152,"")</f>
        <v/>
      </c>
      <c r="D153" s="87" t="str">
        <f>IFERROR(INDEX('DETALHE GANHOS E GASTOS'!$C$131:$H$210,MATCH($C153,'DETALHE GANHOS E GASTOS'!$C$131:$C$210,0),4),"")</f>
        <v/>
      </c>
      <c r="E153" s="87" t="str">
        <f>IFERROR(INDEX('DETALHE GANHOS E GASTOS'!$C$131:$H$210,MATCH($C153,'DETALHE GANHOS E GASTOS'!$C$131:$C$210,0),5),"")</f>
        <v/>
      </c>
      <c r="F153" s="87" t="str">
        <f>IFERROR(INDEX('DETALHE GANHOS E GASTOS'!$C$131:$H$210,MATCH($C153,'DETALHE GANHOS E GASTOS'!$C$131:$C$210,0),6),"")</f>
        <v/>
      </c>
      <c r="G153" s="308"/>
      <c r="H153" s="61" t="str">
        <f t="shared" si="146"/>
        <v/>
      </c>
    </row>
    <row r="154" spans="2:8" ht="15" customHeight="1" x14ac:dyDescent="0.25">
      <c r="B154" s="73" t="str">
        <f>IF('DETALHE GANHOS E GASTOS'!B153&lt;&gt;"",'DETALHE GANHOS E GASTOS'!B153,"")</f>
        <v>7.3</v>
      </c>
      <c r="C154" s="53" t="str">
        <f>IF('DETALHE GANHOS E GASTOS'!C153&lt;&gt;"",'DETALHE GANHOS E GASTOS'!C153,"")</f>
        <v>INVESTIMENTOS REALIZADOS PELA PROPRIA EMPRESA</v>
      </c>
      <c r="D154" s="211">
        <f t="shared" ref="D154" si="150">SUM(D155:D161)</f>
        <v>0</v>
      </c>
      <c r="E154" s="211">
        <f t="shared" ref="E154" si="151">SUM(E155:E161)</f>
        <v>0</v>
      </c>
      <c r="F154" s="211">
        <f t="shared" ref="F154:G154" si="152">SUM(F155:F161)</f>
        <v>0</v>
      </c>
      <c r="G154" s="309">
        <f t="shared" si="152"/>
        <v>0</v>
      </c>
      <c r="H154" s="212" t="str">
        <f t="shared" si="146"/>
        <v/>
      </c>
    </row>
    <row r="155" spans="2:8" ht="15" customHeight="1" x14ac:dyDescent="0.25">
      <c r="B155" s="77" t="str">
        <f>IF('DETALHE GANHOS E GASTOS'!B154&lt;&gt;"",'DETALHE GANHOS E GASTOS'!B154,"")</f>
        <v>7.3.1</v>
      </c>
      <c r="C155" s="48" t="str">
        <f>IF('DETALHE GANHOS E GASTOS'!C154&lt;&gt;"",'DETALHE GANHOS E GASTOS'!C154,"")</f>
        <v>Investimentos financeiros</v>
      </c>
      <c r="D155" s="87">
        <f>IFERROR(INDEX('DETALHE GANHOS E GASTOS'!$C$131:$H$210,MATCH($C155,'DETALHE GANHOS E GASTOS'!$C$131:$C$210,0),4),"")</f>
        <v>0</v>
      </c>
      <c r="E155" s="87">
        <f>IFERROR(INDEX('DETALHE GANHOS E GASTOS'!$C$131:$H$210,MATCH($C155,'DETALHE GANHOS E GASTOS'!$C$131:$C$210,0),5),"")</f>
        <v>0</v>
      </c>
      <c r="F155" s="87">
        <f>IFERROR(INDEX('DETALHE GANHOS E GASTOS'!$C$131:$H$210,MATCH($C155,'DETALHE GANHOS E GASTOS'!$C$131:$C$210,0),6),"")</f>
        <v>0</v>
      </c>
      <c r="G155" s="308"/>
      <c r="H155" s="61" t="str">
        <f t="shared" si="146"/>
        <v/>
      </c>
    </row>
    <row r="156" spans="2:8" ht="15" customHeight="1" x14ac:dyDescent="0.25">
      <c r="B156" s="77" t="str">
        <f>IF('DETALHE GANHOS E GASTOS'!B155&lt;&gt;"",'DETALHE GANHOS E GASTOS'!B155,"")</f>
        <v>7.3.2</v>
      </c>
      <c r="C156" s="48" t="str">
        <f>IF('DETALHE GANHOS E GASTOS'!C155&lt;&gt;"",'DETALHE GANHOS E GASTOS'!C155,"")</f>
        <v>Activos tangÍveis</v>
      </c>
      <c r="D156" s="87">
        <f>IFERROR(INDEX('DETALHE GANHOS E GASTOS'!$C$131:$H$210,MATCH($C156,'DETALHE GANHOS E GASTOS'!$C$131:$C$210,0),4),"")</f>
        <v>0</v>
      </c>
      <c r="E156" s="87">
        <f>IFERROR(INDEX('DETALHE GANHOS E GASTOS'!$C$131:$H$210,MATCH($C156,'DETALHE GANHOS E GASTOS'!$C$131:$C$210,0),5),"")</f>
        <v>0</v>
      </c>
      <c r="F156" s="87">
        <f>IFERROR(INDEX('DETALHE GANHOS E GASTOS'!$C$131:$H$210,MATCH($C156,'DETALHE GANHOS E GASTOS'!$C$131:$C$210,0),6),"")</f>
        <v>0</v>
      </c>
      <c r="G156" s="308"/>
      <c r="H156" s="61" t="str">
        <f t="shared" si="146"/>
        <v/>
      </c>
    </row>
    <row r="157" spans="2:8" ht="15" customHeight="1" x14ac:dyDescent="0.25">
      <c r="B157" s="77" t="str">
        <f>IF('DETALHE GANHOS E GASTOS'!B156&lt;&gt;"",'DETALHE GANHOS E GASTOS'!B156,"")</f>
        <v>7.3.3</v>
      </c>
      <c r="C157" s="48" t="str">
        <f>IF('DETALHE GANHOS E GASTOS'!C156&lt;&gt;"",'DETALHE GANHOS E GASTOS'!C156,"")</f>
        <v>Activos intangÍveis</v>
      </c>
      <c r="D157" s="87">
        <f>IFERROR(INDEX('DETALHE GANHOS E GASTOS'!$C$131:$H$210,MATCH($C157,'DETALHE GANHOS E GASTOS'!$C$131:$C$210,0),4),"")</f>
        <v>0</v>
      </c>
      <c r="E157" s="87">
        <f>IFERROR(INDEX('DETALHE GANHOS E GASTOS'!$C$131:$H$210,MATCH($C157,'DETALHE GANHOS E GASTOS'!$C$131:$C$210,0),5),"")</f>
        <v>0</v>
      </c>
      <c r="F157" s="87">
        <f>IFERROR(INDEX('DETALHE GANHOS E GASTOS'!$C$131:$H$210,MATCH($C157,'DETALHE GANHOS E GASTOS'!$C$131:$C$210,0),6),"")</f>
        <v>0</v>
      </c>
      <c r="G157" s="308"/>
      <c r="H157" s="61" t="str">
        <f t="shared" si="146"/>
        <v/>
      </c>
    </row>
    <row r="158" spans="2:8" ht="15" customHeight="1" x14ac:dyDescent="0.25">
      <c r="B158" s="77" t="str">
        <f>IF('DETALHE GANHOS E GASTOS'!B157&lt;&gt;"",'DETALHE GANHOS E GASTOS'!B157,"")</f>
        <v>7.3.4</v>
      </c>
      <c r="C158" s="48" t="str">
        <f>IF('DETALHE GANHOS E GASTOS'!C157&lt;&gt;"",'DETALHE GANHOS E GASTOS'!C157,"")</f>
        <v>Investimentos em Curso</v>
      </c>
      <c r="D158" s="87">
        <f>IFERROR(INDEX('DETALHE GANHOS E GASTOS'!$C$131:$H$210,MATCH($C158,'DETALHE GANHOS E GASTOS'!$C$131:$C$210,0),4),"")</f>
        <v>0</v>
      </c>
      <c r="E158" s="87">
        <f>IFERROR(INDEX('DETALHE GANHOS E GASTOS'!$C$131:$H$210,MATCH($C158,'DETALHE GANHOS E GASTOS'!$C$131:$C$210,0),5),"")</f>
        <v>0</v>
      </c>
      <c r="F158" s="87">
        <f>IFERROR(INDEX('DETALHE GANHOS E GASTOS'!$C$131:$H$210,MATCH($C158,'DETALHE GANHOS E GASTOS'!$C$131:$C$210,0),6),"")</f>
        <v>0</v>
      </c>
      <c r="G158" s="308"/>
      <c r="H158" s="61" t="str">
        <f t="shared" si="146"/>
        <v/>
      </c>
    </row>
    <row r="159" spans="2:8" ht="15" customHeight="1" x14ac:dyDescent="0.25">
      <c r="B159" s="77" t="str">
        <f>IF('DETALHE GANHOS E GASTOS'!B158&lt;&gt;"",'DETALHE GANHOS E GASTOS'!B158,"")</f>
        <v/>
      </c>
      <c r="C159" s="48" t="str">
        <f>IF('DETALHE GANHOS E GASTOS'!C158&lt;&gt;"",'DETALHE GANHOS E GASTOS'!C158,"")</f>
        <v/>
      </c>
      <c r="D159" s="87" t="str">
        <f>IFERROR(INDEX('DETALHE GANHOS E GASTOS'!$C$131:$H$210,MATCH($C159,'DETALHE GANHOS E GASTOS'!$C$131:$C$210,0),4),"")</f>
        <v/>
      </c>
      <c r="E159" s="87" t="str">
        <f>IFERROR(INDEX('DETALHE GANHOS E GASTOS'!$C$131:$H$210,MATCH($C159,'DETALHE GANHOS E GASTOS'!$C$131:$C$210,0),5),"")</f>
        <v/>
      </c>
      <c r="F159" s="87" t="str">
        <f>IFERROR(INDEX('DETALHE GANHOS E GASTOS'!$C$131:$H$210,MATCH($C159,'DETALHE GANHOS E GASTOS'!$C$131:$C$210,0),6),"")</f>
        <v/>
      </c>
      <c r="G159" s="308"/>
      <c r="H159" s="61" t="str">
        <f t="shared" si="146"/>
        <v/>
      </c>
    </row>
    <row r="160" spans="2:8" ht="15" customHeight="1" x14ac:dyDescent="0.25">
      <c r="B160" s="77" t="str">
        <f>IF('DETALHE GANHOS E GASTOS'!B159&lt;&gt;"",'DETALHE GANHOS E GASTOS'!B159,"")</f>
        <v/>
      </c>
      <c r="C160" s="48" t="str">
        <f>IF('DETALHE GANHOS E GASTOS'!C159&lt;&gt;"",'DETALHE GANHOS E GASTOS'!C159,"")</f>
        <v/>
      </c>
      <c r="D160" s="87" t="str">
        <f>IFERROR(INDEX('DETALHE GANHOS E GASTOS'!$C$131:$H$210,MATCH($C160,'DETALHE GANHOS E GASTOS'!$C$131:$C$210,0),4),"")</f>
        <v/>
      </c>
      <c r="E160" s="87" t="str">
        <f>IFERROR(INDEX('DETALHE GANHOS E GASTOS'!$C$131:$H$210,MATCH($C160,'DETALHE GANHOS E GASTOS'!$C$131:$C$210,0),5),"")</f>
        <v/>
      </c>
      <c r="F160" s="87" t="str">
        <f>IFERROR(INDEX('DETALHE GANHOS E GASTOS'!$C$131:$H$210,MATCH($C160,'DETALHE GANHOS E GASTOS'!$C$131:$C$210,0),6),"")</f>
        <v/>
      </c>
      <c r="G160" s="308"/>
      <c r="H160" s="61" t="str">
        <f t="shared" si="146"/>
        <v/>
      </c>
    </row>
    <row r="161" spans="2:8" ht="15" customHeight="1" x14ac:dyDescent="0.25">
      <c r="B161" s="77" t="str">
        <f>IF('DETALHE GANHOS E GASTOS'!B160&lt;&gt;"",'DETALHE GANHOS E GASTOS'!B160,"")</f>
        <v/>
      </c>
      <c r="C161" s="48" t="str">
        <f>IF('DETALHE GANHOS E GASTOS'!C160&lt;&gt;"",'DETALHE GANHOS E GASTOS'!C160,"")</f>
        <v/>
      </c>
      <c r="D161" s="87" t="str">
        <f>IFERROR(INDEX('DETALHE GANHOS E GASTOS'!$C$131:$H$210,MATCH($C161,'DETALHE GANHOS E GASTOS'!$C$131:$C$210,0),4),"")</f>
        <v/>
      </c>
      <c r="E161" s="87" t="str">
        <f>IFERROR(INDEX('DETALHE GANHOS E GASTOS'!$C$131:$H$210,MATCH($C161,'DETALHE GANHOS E GASTOS'!$C$131:$C$210,0),5),"")</f>
        <v/>
      </c>
      <c r="F161" s="87" t="str">
        <f>IFERROR(INDEX('DETALHE GANHOS E GASTOS'!$C$131:$H$210,MATCH($C161,'DETALHE GANHOS E GASTOS'!$C$131:$C$210,0),6),"")</f>
        <v/>
      </c>
      <c r="G161" s="308"/>
      <c r="H161" s="61" t="str">
        <f t="shared" si="146"/>
        <v/>
      </c>
    </row>
    <row r="162" spans="2:8" ht="15" customHeight="1" x14ac:dyDescent="0.25">
      <c r="B162" s="73" t="str">
        <f>IF('DETALHE GANHOS E GASTOS'!B161&lt;&gt;"",'DETALHE GANHOS E GASTOS'!B161,"")</f>
        <v>7.4</v>
      </c>
      <c r="C162" s="53" t="str">
        <f>IF('DETALHE GANHOS E GASTOS'!C161&lt;&gt;"",'DETALHE GANHOS E GASTOS'!C161,"")</f>
        <v>REVERSÕES DO PERÍODO</v>
      </c>
      <c r="D162" s="211">
        <f t="shared" ref="D162" si="153">SUM(D163:D167)</f>
        <v>0</v>
      </c>
      <c r="E162" s="211">
        <f t="shared" ref="E162" si="154">SUM(E163:E167)</f>
        <v>0</v>
      </c>
      <c r="F162" s="211">
        <f t="shared" ref="F162:G162" si="155">SUM(F163:F167)</f>
        <v>0</v>
      </c>
      <c r="G162" s="309">
        <f t="shared" si="155"/>
        <v>0</v>
      </c>
      <c r="H162" s="212" t="str">
        <f t="shared" si="146"/>
        <v/>
      </c>
    </row>
    <row r="163" spans="2:8" ht="15" customHeight="1" x14ac:dyDescent="0.25">
      <c r="B163" s="77" t="str">
        <f>IF('DETALHE GANHOS E GASTOS'!B162&lt;&gt;"",'DETALHE GANHOS E GASTOS'!B162,"")</f>
        <v>7.4.1</v>
      </c>
      <c r="C163" s="48" t="str">
        <f>IF('DETALHE GANHOS E GASTOS'!C162&lt;&gt;"",'DETALHE GANHOS E GASTOS'!C162,"")</f>
        <v>De ajustamentos</v>
      </c>
      <c r="D163" s="87">
        <f>IFERROR(INDEX('DETALHE GANHOS E GASTOS'!$C$131:$H$210,MATCH($C163,'DETALHE GANHOS E GASTOS'!$C$131:$C$210,0),4),"")</f>
        <v>0</v>
      </c>
      <c r="E163" s="87">
        <f>IFERROR(INDEX('DETALHE GANHOS E GASTOS'!$C$131:$H$210,MATCH($C163,'DETALHE GANHOS E GASTOS'!$C$131:$C$210,0),5),"")</f>
        <v>0</v>
      </c>
      <c r="F163" s="87">
        <f>IFERROR(INDEX('DETALHE GANHOS E GASTOS'!$C$131:$H$210,MATCH($C163,'DETALHE GANHOS E GASTOS'!$C$131:$C$210,0),6),"")</f>
        <v>0</v>
      </c>
      <c r="G163" s="308"/>
      <c r="H163" s="61" t="str">
        <f t="shared" si="146"/>
        <v/>
      </c>
    </row>
    <row r="164" spans="2:8" ht="15" customHeight="1" x14ac:dyDescent="0.25">
      <c r="B164" s="77" t="str">
        <f>IF('DETALHE GANHOS E GASTOS'!B163&lt;&gt;"",'DETALHE GANHOS E GASTOS'!B163,"")</f>
        <v>7.4.2</v>
      </c>
      <c r="C164" s="48" t="str">
        <f>IF('DETALHE GANHOS E GASTOS'!C163&lt;&gt;"",'DETALHE GANHOS E GASTOS'!C163,"")</f>
        <v>De amortizações</v>
      </c>
      <c r="D164" s="87">
        <f>IFERROR(INDEX('DETALHE GANHOS E GASTOS'!$C$131:$H$210,MATCH($C164,'DETALHE GANHOS E GASTOS'!$C$131:$C$210,0),4),"")</f>
        <v>0</v>
      </c>
      <c r="E164" s="87">
        <f>IFERROR(INDEX('DETALHE GANHOS E GASTOS'!$C$131:$H$210,MATCH($C164,'DETALHE GANHOS E GASTOS'!$C$131:$C$210,0),5),"")</f>
        <v>0</v>
      </c>
      <c r="F164" s="87">
        <f>IFERROR(INDEX('DETALHE GANHOS E GASTOS'!$C$131:$H$210,MATCH($C164,'DETALHE GANHOS E GASTOS'!$C$131:$C$210,0),6),"")</f>
        <v>0</v>
      </c>
      <c r="G164" s="308"/>
      <c r="H164" s="61" t="str">
        <f t="shared" si="146"/>
        <v/>
      </c>
    </row>
    <row r="165" spans="2:8" ht="15" customHeight="1" x14ac:dyDescent="0.25">
      <c r="B165" s="77" t="str">
        <f>IF('DETALHE GANHOS E GASTOS'!B164&lt;&gt;"",'DETALHE GANHOS E GASTOS'!B164,"")</f>
        <v>7.4.3</v>
      </c>
      <c r="C165" s="48" t="str">
        <f>IF('DETALHE GANHOS E GASTOS'!C164&lt;&gt;"",'DETALHE GANHOS E GASTOS'!C164,"")</f>
        <v>De provisões</v>
      </c>
      <c r="D165" s="87">
        <f>IFERROR(INDEX('DETALHE GANHOS E GASTOS'!$C$131:$H$210,MATCH($C165,'DETALHE GANHOS E GASTOS'!$C$131:$C$210,0),4),"")</f>
        <v>0</v>
      </c>
      <c r="E165" s="87">
        <f>IFERROR(INDEX('DETALHE GANHOS E GASTOS'!$C$131:$H$210,MATCH($C165,'DETALHE GANHOS E GASTOS'!$C$131:$C$210,0),5),"")</f>
        <v>0</v>
      </c>
      <c r="F165" s="87">
        <f>IFERROR(INDEX('DETALHE GANHOS E GASTOS'!$C$131:$H$210,MATCH($C165,'DETALHE GANHOS E GASTOS'!$C$131:$C$210,0),6),"")</f>
        <v>0</v>
      </c>
      <c r="G165" s="308"/>
      <c r="H165" s="61" t="str">
        <f t="shared" si="146"/>
        <v/>
      </c>
    </row>
    <row r="166" spans="2:8" ht="15" customHeight="1" x14ac:dyDescent="0.25">
      <c r="B166" s="77" t="str">
        <f>IF('DETALHE GANHOS E GASTOS'!B165&lt;&gt;"",'DETALHE GANHOS E GASTOS'!B165,"")</f>
        <v/>
      </c>
      <c r="C166" s="48" t="str">
        <f>IF('DETALHE GANHOS E GASTOS'!C165&lt;&gt;"",'DETALHE GANHOS E GASTOS'!C165,"")</f>
        <v/>
      </c>
      <c r="D166" s="87" t="str">
        <f>IFERROR(INDEX('DETALHE GANHOS E GASTOS'!$C$131:$H$210,MATCH($C166,'DETALHE GANHOS E GASTOS'!$C$131:$C$210,0),4),"")</f>
        <v/>
      </c>
      <c r="E166" s="87" t="str">
        <f>IFERROR(INDEX('DETALHE GANHOS E GASTOS'!$C$131:$H$210,MATCH($C166,'DETALHE GANHOS E GASTOS'!$C$131:$C$210,0),5),"")</f>
        <v/>
      </c>
      <c r="F166" s="87" t="str">
        <f>IFERROR(INDEX('DETALHE GANHOS E GASTOS'!$C$131:$H$210,MATCH($C166,'DETALHE GANHOS E GASTOS'!$C$131:$C$210,0),6),"")</f>
        <v/>
      </c>
      <c r="G166" s="308"/>
      <c r="H166" s="61" t="str">
        <f t="shared" si="146"/>
        <v/>
      </c>
    </row>
    <row r="167" spans="2:8" ht="15" customHeight="1" x14ac:dyDescent="0.25">
      <c r="B167" s="77" t="str">
        <f>IF('DETALHE GANHOS E GASTOS'!B166&lt;&gt;"",'DETALHE GANHOS E GASTOS'!B166,"")</f>
        <v/>
      </c>
      <c r="C167" s="48" t="str">
        <f>IF('DETALHE GANHOS E GASTOS'!C166&lt;&gt;"",'DETALHE GANHOS E GASTOS'!C166,"")</f>
        <v/>
      </c>
      <c r="D167" s="87" t="str">
        <f>IFERROR(INDEX('DETALHE GANHOS E GASTOS'!$C$131:$H$210,MATCH($C167,'DETALHE GANHOS E GASTOS'!$C$131:$C$210,0),4),"")</f>
        <v/>
      </c>
      <c r="E167" s="87" t="str">
        <f>IFERROR(INDEX('DETALHE GANHOS E GASTOS'!$C$131:$H$210,MATCH($C167,'DETALHE GANHOS E GASTOS'!$C$131:$C$210,0),5),"")</f>
        <v/>
      </c>
      <c r="F167" s="87" t="str">
        <f>IFERROR(INDEX('DETALHE GANHOS E GASTOS'!$C$131:$H$210,MATCH($C167,'DETALHE GANHOS E GASTOS'!$C$131:$C$210,0),6),"")</f>
        <v/>
      </c>
      <c r="G167" s="308"/>
      <c r="H167" s="61" t="str">
        <f t="shared" si="146"/>
        <v/>
      </c>
    </row>
    <row r="168" spans="2:8" ht="15" customHeight="1" x14ac:dyDescent="0.25">
      <c r="B168" s="73" t="str">
        <f>IF('DETALHE GANHOS E GASTOS'!B167&lt;&gt;"",'DETALHE GANHOS E GASTOS'!B167,"")</f>
        <v>7.5</v>
      </c>
      <c r="C168" s="53" t="str">
        <f>IF('DETALHE GANHOS E GASTOS'!C167&lt;&gt;"",'DETALHE GANHOS E GASTOS'!C167,"")</f>
        <v>RENDIMENTOS SUPLEMENTARES</v>
      </c>
      <c r="D168" s="211">
        <f t="shared" ref="D168" si="156">SUM(D169:D179)</f>
        <v>0</v>
      </c>
      <c r="E168" s="211">
        <f t="shared" ref="E168" si="157">SUM(E169:E179)</f>
        <v>0</v>
      </c>
      <c r="F168" s="211">
        <f t="shared" ref="F168:G168" si="158">SUM(F169:F179)</f>
        <v>0</v>
      </c>
      <c r="G168" s="309">
        <f t="shared" si="158"/>
        <v>0</v>
      </c>
      <c r="H168" s="212" t="str">
        <f t="shared" si="146"/>
        <v/>
      </c>
    </row>
    <row r="169" spans="2:8" ht="15" customHeight="1" x14ac:dyDescent="0.25">
      <c r="B169" s="77" t="str">
        <f>IF('DETALHE GANHOS E GASTOS'!B168&lt;&gt;"",'DETALHE GANHOS E GASTOS'!B168,"")</f>
        <v>7.5.1</v>
      </c>
      <c r="C169" s="48" t="str">
        <f>IF('DETALHE GANHOS E GASTOS'!C168&lt;&gt;"",'DETALHE GANHOS E GASTOS'!C168,"")</f>
        <v>Serviços Sociais</v>
      </c>
      <c r="D169" s="87">
        <f>IFERROR(INDEX('DETALHE GANHOS E GASTOS'!$C$131:$H$210,MATCH($C169,'DETALHE GANHOS E GASTOS'!$C$131:$C$210,0),4),"")</f>
        <v>0</v>
      </c>
      <c r="E169" s="87">
        <f>IFERROR(INDEX('DETALHE GANHOS E GASTOS'!$C$131:$H$210,MATCH($C169,'DETALHE GANHOS E GASTOS'!$C$131:$C$210,0),5),"")</f>
        <v>0</v>
      </c>
      <c r="F169" s="87">
        <f>IFERROR(INDEX('DETALHE GANHOS E GASTOS'!$C$131:$H$210,MATCH($C169,'DETALHE GANHOS E GASTOS'!$C$131:$C$210,0),6),"")</f>
        <v>0</v>
      </c>
      <c r="G169" s="308"/>
      <c r="H169" s="61" t="str">
        <f t="shared" si="146"/>
        <v/>
      </c>
    </row>
    <row r="170" spans="2:8" ht="15" customHeight="1" x14ac:dyDescent="0.25">
      <c r="B170" s="77" t="str">
        <f>IF('DETALHE GANHOS E GASTOS'!B169&lt;&gt;"",'DETALHE GANHOS E GASTOS'!B169,"")</f>
        <v>7.5.2</v>
      </c>
      <c r="C170" s="48" t="str">
        <f>IF('DETALHE GANHOS E GASTOS'!C169&lt;&gt;"",'DETALHE GANHOS E GASTOS'!C169,"")</f>
        <v>Aluguer de equipamento</v>
      </c>
      <c r="D170" s="87">
        <f>IFERROR(INDEX('DETALHE GANHOS E GASTOS'!$C$131:$H$210,MATCH($C170,'DETALHE GANHOS E GASTOS'!$C$131:$C$210,0),4),"")</f>
        <v>0</v>
      </c>
      <c r="E170" s="87">
        <f>IFERROR(INDEX('DETALHE GANHOS E GASTOS'!$C$131:$H$210,MATCH($C170,'DETALHE GANHOS E GASTOS'!$C$131:$C$210,0),5),"")</f>
        <v>0</v>
      </c>
      <c r="F170" s="87">
        <f>IFERROR(INDEX('DETALHE GANHOS E GASTOS'!$C$131:$H$210,MATCH($C170,'DETALHE GANHOS E GASTOS'!$C$131:$C$210,0),6),"")</f>
        <v>0</v>
      </c>
      <c r="G170" s="308"/>
      <c r="H170" s="61" t="str">
        <f t="shared" si="146"/>
        <v/>
      </c>
    </row>
    <row r="171" spans="2:8" ht="15" customHeight="1" x14ac:dyDescent="0.25">
      <c r="B171" s="77" t="str">
        <f>IF('DETALHE GANHOS E GASTOS'!B170&lt;&gt;"",'DETALHE GANHOS E GASTOS'!B170,"")</f>
        <v>7.5.3</v>
      </c>
      <c r="C171" s="48" t="str">
        <f>IF('DETALHE GANHOS E GASTOS'!C170&lt;&gt;"",'DETALHE GANHOS E GASTOS'!C170,"")</f>
        <v>Venda de energia</v>
      </c>
      <c r="D171" s="87">
        <f>IFERROR(INDEX('DETALHE GANHOS E GASTOS'!$C$131:$H$210,MATCH($C171,'DETALHE GANHOS E GASTOS'!$C$131:$C$210,0),4),"")</f>
        <v>0</v>
      </c>
      <c r="E171" s="87">
        <f>IFERROR(INDEX('DETALHE GANHOS E GASTOS'!$C$131:$H$210,MATCH($C171,'DETALHE GANHOS E GASTOS'!$C$131:$C$210,0),5),"")</f>
        <v>0</v>
      </c>
      <c r="F171" s="87">
        <f>IFERROR(INDEX('DETALHE GANHOS E GASTOS'!$C$131:$H$210,MATCH($C171,'DETALHE GANHOS E GASTOS'!$C$131:$C$210,0),6),"")</f>
        <v>0</v>
      </c>
      <c r="G171" s="308"/>
      <c r="H171" s="61" t="str">
        <f t="shared" si="146"/>
        <v/>
      </c>
    </row>
    <row r="172" spans="2:8" ht="15" customHeight="1" x14ac:dyDescent="0.25">
      <c r="B172" s="77" t="str">
        <f>IF('DETALHE GANHOS E GASTOS'!B171&lt;&gt;"",'DETALHE GANHOS E GASTOS'!B171,"")</f>
        <v>7.5.4</v>
      </c>
      <c r="C172" s="48" t="str">
        <f>IF('DETALHE GANHOS E GASTOS'!C171&lt;&gt;"",'DETALHE GANHOS E GASTOS'!C171,"")</f>
        <v>Estudos, projectos, pesquisas e investigacoes</v>
      </c>
      <c r="D172" s="87">
        <f>IFERROR(INDEX('DETALHE GANHOS E GASTOS'!$C$131:$H$210,MATCH($C172,'DETALHE GANHOS E GASTOS'!$C$131:$C$210,0),4),"")</f>
        <v>0</v>
      </c>
      <c r="E172" s="87">
        <f>IFERROR(INDEX('DETALHE GANHOS E GASTOS'!$C$131:$H$210,MATCH($C172,'DETALHE GANHOS E GASTOS'!$C$131:$C$210,0),5),"")</f>
        <v>0</v>
      </c>
      <c r="F172" s="87">
        <f>IFERROR(INDEX('DETALHE GANHOS E GASTOS'!$C$131:$H$210,MATCH($C172,'DETALHE GANHOS E GASTOS'!$C$131:$C$210,0),6),"")</f>
        <v>0</v>
      </c>
      <c r="G172" s="308"/>
      <c r="H172" s="61" t="str">
        <f t="shared" si="146"/>
        <v/>
      </c>
    </row>
    <row r="173" spans="2:8" ht="15" customHeight="1" x14ac:dyDescent="0.25">
      <c r="B173" s="77" t="str">
        <f>IF('DETALHE GANHOS E GASTOS'!B172&lt;&gt;"",'DETALHE GANHOS E GASTOS'!B172,"")</f>
        <v>7.5.5</v>
      </c>
      <c r="C173" s="48" t="str">
        <f>IF('DETALHE GANHOS E GASTOS'!C172&lt;&gt;"",'DETALHE GANHOS E GASTOS'!C172,"")</f>
        <v>Assistencia tecnica</v>
      </c>
      <c r="D173" s="87">
        <f>IFERROR(INDEX('DETALHE GANHOS E GASTOS'!$C$131:$H$210,MATCH($C173,'DETALHE GANHOS E GASTOS'!$C$131:$C$210,0),4),"")</f>
        <v>0</v>
      </c>
      <c r="E173" s="87">
        <f>IFERROR(INDEX('DETALHE GANHOS E GASTOS'!$C$131:$H$210,MATCH($C173,'DETALHE GANHOS E GASTOS'!$C$131:$C$210,0),5),"")</f>
        <v>0</v>
      </c>
      <c r="F173" s="87">
        <f>IFERROR(INDEX('DETALHE GANHOS E GASTOS'!$C$131:$H$210,MATCH($C173,'DETALHE GANHOS E GASTOS'!$C$131:$C$210,0),6),"")</f>
        <v>0</v>
      </c>
      <c r="G173" s="308"/>
      <c r="H173" s="61" t="str">
        <f t="shared" si="146"/>
        <v/>
      </c>
    </row>
    <row r="174" spans="2:8" ht="15" customHeight="1" x14ac:dyDescent="0.25">
      <c r="B174" s="77" t="str">
        <f>IF('DETALHE GANHOS E GASTOS'!B173&lt;&gt;"",'DETALHE GANHOS E GASTOS'!B173,"")</f>
        <v>7.5.6</v>
      </c>
      <c r="C174" s="48" t="str">
        <f>IF('DETALHE GANHOS E GASTOS'!C173&lt;&gt;"",'DETALHE GANHOS E GASTOS'!C173,"")</f>
        <v>Royalties</v>
      </c>
      <c r="D174" s="87">
        <f>IFERROR(INDEX('DETALHE GANHOS E GASTOS'!$C$131:$H$210,MATCH($C174,'DETALHE GANHOS E GASTOS'!$C$131:$C$210,0),4),"")</f>
        <v>0</v>
      </c>
      <c r="E174" s="87">
        <f>IFERROR(INDEX('DETALHE GANHOS E GASTOS'!$C$131:$H$210,MATCH($C174,'DETALHE GANHOS E GASTOS'!$C$131:$C$210,0),5),"")</f>
        <v>0</v>
      </c>
      <c r="F174" s="87">
        <f>IFERROR(INDEX('DETALHE GANHOS E GASTOS'!$C$131:$H$210,MATCH($C174,'DETALHE GANHOS E GASTOS'!$C$131:$C$210,0),6),"")</f>
        <v>0</v>
      </c>
      <c r="G174" s="308"/>
      <c r="H174" s="61" t="str">
        <f t="shared" si="146"/>
        <v/>
      </c>
    </row>
    <row r="175" spans="2:8" ht="15" customHeight="1" x14ac:dyDescent="0.25">
      <c r="B175" s="77" t="str">
        <f>IF('DETALHE GANHOS E GASTOS'!B174&lt;&gt;"",'DETALHE GANHOS E GASTOS'!B174,"")</f>
        <v>7.5.7</v>
      </c>
      <c r="C175" s="48" t="str">
        <f>IF('DETALHE GANHOS E GASTOS'!C174&lt;&gt;"",'DETALHE GANHOS E GASTOS'!C174,"")</f>
        <v/>
      </c>
      <c r="D175" s="87" t="str">
        <f>IFERROR(INDEX('DETALHE GANHOS E GASTOS'!$C$131:$H$210,MATCH($C175,'DETALHE GANHOS E GASTOS'!$C$131:$C$210,0),4),"")</f>
        <v/>
      </c>
      <c r="E175" s="87" t="str">
        <f>IFERROR(INDEX('DETALHE GANHOS E GASTOS'!$C$131:$H$210,MATCH($C175,'DETALHE GANHOS E GASTOS'!$C$131:$C$210,0),5),"")</f>
        <v/>
      </c>
      <c r="F175" s="87" t="str">
        <f>IFERROR(INDEX('DETALHE GANHOS E GASTOS'!$C$131:$H$210,MATCH($C175,'DETALHE GANHOS E GASTOS'!$C$131:$C$210,0),6),"")</f>
        <v/>
      </c>
      <c r="G175" s="308"/>
      <c r="H175" s="61" t="str">
        <f t="shared" si="146"/>
        <v/>
      </c>
    </row>
    <row r="176" spans="2:8" ht="15" customHeight="1" x14ac:dyDescent="0.25">
      <c r="B176" s="77" t="str">
        <f>IF('DETALHE GANHOS E GASTOS'!B175&lt;&gt;"",'DETALHE GANHOS E GASTOS'!B175,"")</f>
        <v>7.5.8</v>
      </c>
      <c r="C176" s="48" t="str">
        <f>IF('DETALHE GANHOS E GASTOS'!C175&lt;&gt;"",'DETALHE GANHOS E GASTOS'!C175,"")</f>
        <v/>
      </c>
      <c r="D176" s="87" t="str">
        <f>IFERROR(INDEX('DETALHE GANHOS E GASTOS'!$C$131:$H$210,MATCH($C176,'DETALHE GANHOS E GASTOS'!$C$131:$C$210,0),4),"")</f>
        <v/>
      </c>
      <c r="E176" s="87" t="str">
        <f>IFERROR(INDEX('DETALHE GANHOS E GASTOS'!$C$131:$H$210,MATCH($C176,'DETALHE GANHOS E GASTOS'!$C$131:$C$210,0),5),"")</f>
        <v/>
      </c>
      <c r="F176" s="87" t="str">
        <f>IFERROR(INDEX('DETALHE GANHOS E GASTOS'!$C$131:$H$210,MATCH($C176,'DETALHE GANHOS E GASTOS'!$C$131:$C$210,0),6),"")</f>
        <v/>
      </c>
      <c r="G176" s="308"/>
      <c r="H176" s="61" t="str">
        <f t="shared" si="146"/>
        <v/>
      </c>
    </row>
    <row r="177" spans="2:8" ht="15" customHeight="1" x14ac:dyDescent="0.25">
      <c r="B177" s="77" t="str">
        <f>IF('DETALHE GANHOS E GASTOS'!B176&lt;&gt;"",'DETALHE GANHOS E GASTOS'!B176,"")</f>
        <v>7.5.9</v>
      </c>
      <c r="C177" s="48" t="str">
        <f>IF('DETALHE GANHOS E GASTOS'!C176&lt;&gt;"",'DETALHE GANHOS E GASTOS'!C176,"")</f>
        <v>Outros rendimentos suplementares</v>
      </c>
      <c r="D177" s="87">
        <f>IFERROR(INDEX('DETALHE GANHOS E GASTOS'!$C$131:$H$210,MATCH($C177,'DETALHE GANHOS E GASTOS'!$C$131:$C$210,0),4),"")</f>
        <v>0</v>
      </c>
      <c r="E177" s="87">
        <f>IFERROR(INDEX('DETALHE GANHOS E GASTOS'!$C$131:$H$210,MATCH($C177,'DETALHE GANHOS E GASTOS'!$C$131:$C$210,0),5),"")</f>
        <v>0</v>
      </c>
      <c r="F177" s="87">
        <f>IFERROR(INDEX('DETALHE GANHOS E GASTOS'!$C$131:$H$210,MATCH($C177,'DETALHE GANHOS E GASTOS'!$C$131:$C$210,0),6),"")</f>
        <v>0</v>
      </c>
      <c r="G177" s="308"/>
      <c r="H177" s="61" t="str">
        <f t="shared" si="146"/>
        <v/>
      </c>
    </row>
    <row r="178" spans="2:8" ht="15" customHeight="1" x14ac:dyDescent="0.25">
      <c r="B178" s="77" t="str">
        <f>IF('DETALHE GANHOS E GASTOS'!B177&lt;&gt;"",'DETALHE GANHOS E GASTOS'!B177,"")</f>
        <v/>
      </c>
      <c r="C178" s="48" t="str">
        <f>IF('DETALHE GANHOS E GASTOS'!C177&lt;&gt;"",'DETALHE GANHOS E GASTOS'!C177,"")</f>
        <v/>
      </c>
      <c r="D178" s="87" t="str">
        <f>IFERROR(INDEX('DETALHE GANHOS E GASTOS'!$C$131:$H$210,MATCH($C178,'DETALHE GANHOS E GASTOS'!$C$131:$C$210,0),4),"")</f>
        <v/>
      </c>
      <c r="E178" s="87" t="str">
        <f>IFERROR(INDEX('DETALHE GANHOS E GASTOS'!$C$131:$H$210,MATCH($C178,'DETALHE GANHOS E GASTOS'!$C$131:$C$210,0),5),"")</f>
        <v/>
      </c>
      <c r="F178" s="87" t="str">
        <f>IFERROR(INDEX('DETALHE GANHOS E GASTOS'!$C$131:$H$210,MATCH($C178,'DETALHE GANHOS E GASTOS'!$C$131:$C$210,0),6),"")</f>
        <v/>
      </c>
      <c r="G178" s="308"/>
      <c r="H178" s="61" t="str">
        <f t="shared" si="146"/>
        <v/>
      </c>
    </row>
    <row r="179" spans="2:8" ht="15" customHeight="1" x14ac:dyDescent="0.25">
      <c r="B179" s="77" t="str">
        <f>IF('DETALHE GANHOS E GASTOS'!B178&lt;&gt;"",'DETALHE GANHOS E GASTOS'!B178,"")</f>
        <v/>
      </c>
      <c r="C179" s="48" t="str">
        <f>IF('DETALHE GANHOS E GASTOS'!C178&lt;&gt;"",'DETALHE GANHOS E GASTOS'!C178,"")</f>
        <v/>
      </c>
      <c r="D179" s="87" t="str">
        <f>IFERROR(INDEX('DETALHE GANHOS E GASTOS'!$C$131:$H$210,MATCH($C179,'DETALHE GANHOS E GASTOS'!$C$131:$C$210,0),4),"")</f>
        <v/>
      </c>
      <c r="E179" s="87" t="str">
        <f>IFERROR(INDEX('DETALHE GANHOS E GASTOS'!$C$131:$H$210,MATCH($C179,'DETALHE GANHOS E GASTOS'!$C$131:$C$210,0),5),"")</f>
        <v/>
      </c>
      <c r="F179" s="87" t="str">
        <f>IFERROR(INDEX('DETALHE GANHOS E GASTOS'!$C$131:$H$210,MATCH($C179,'DETALHE GANHOS E GASTOS'!$C$131:$C$210,0),6),"")</f>
        <v/>
      </c>
      <c r="G179" s="308"/>
      <c r="H179" s="61" t="str">
        <f t="shared" si="146"/>
        <v/>
      </c>
    </row>
    <row r="180" spans="2:8" ht="15" customHeight="1" x14ac:dyDescent="0.25">
      <c r="B180" s="73" t="str">
        <f>IF('DETALHE GANHOS E GASTOS'!B179&lt;&gt;"",'DETALHE GANHOS E GASTOS'!B179,"")</f>
        <v>7.6</v>
      </c>
      <c r="C180" s="53" t="str">
        <f>IF('DETALHE GANHOS E GASTOS'!C179&lt;&gt;"",'DETALHE GANHOS E GASTOS'!C179,"")</f>
        <v>OUTROS RENDIMENTOS E GANHOS OPERACIONAIS</v>
      </c>
      <c r="D180" s="211">
        <f t="shared" ref="D180" si="159">SUM(D181:D191)</f>
        <v>0</v>
      </c>
      <c r="E180" s="211">
        <f t="shared" ref="E180" si="160">SUM(E181:E191)</f>
        <v>0</v>
      </c>
      <c r="F180" s="211">
        <f t="shared" ref="F180:G180" si="161">SUM(F181:F191)</f>
        <v>0</v>
      </c>
      <c r="G180" s="309">
        <f t="shared" si="161"/>
        <v>0</v>
      </c>
      <c r="H180" s="212" t="str">
        <f t="shared" si="146"/>
        <v/>
      </c>
    </row>
    <row r="181" spans="2:8" ht="15" customHeight="1" x14ac:dyDescent="0.25">
      <c r="B181" s="77" t="str">
        <f>IF('DETALHE GANHOS E GASTOS'!B180&lt;&gt;"",'DETALHE GANHOS E GASTOS'!B180,"")</f>
        <v>7.6.1</v>
      </c>
      <c r="C181" s="48" t="str">
        <f>IF('DETALHE GANHOS E GASTOS'!C180&lt;&gt;"",'DETALHE GANHOS E GASTOS'!C180,"")</f>
        <v>Subsídios para investimentos</v>
      </c>
      <c r="D181" s="87">
        <f>IFERROR(INDEX('DETALHE GANHOS E GASTOS'!$C$131:$H$210,MATCH($C181,'DETALHE GANHOS E GASTOS'!$C$131:$C$210,0),4),"")</f>
        <v>0</v>
      </c>
      <c r="E181" s="87">
        <f>IFERROR(INDEX('DETALHE GANHOS E GASTOS'!$C$131:$H$210,MATCH($C181,'DETALHE GANHOS E GASTOS'!$C$131:$C$210,0),5),"")</f>
        <v>0</v>
      </c>
      <c r="F181" s="87">
        <f>IFERROR(INDEX('DETALHE GANHOS E GASTOS'!$C$131:$H$210,MATCH($C181,'DETALHE GANHOS E GASTOS'!$C$131:$C$210,0),6),"")</f>
        <v>0</v>
      </c>
      <c r="G181" s="308"/>
      <c r="H181" s="61" t="str">
        <f t="shared" si="146"/>
        <v/>
      </c>
    </row>
    <row r="182" spans="2:8" ht="15" customHeight="1" x14ac:dyDescent="0.25">
      <c r="B182" s="77" t="str">
        <f>IF('DETALHE GANHOS E GASTOS'!B181&lt;&gt;"",'DETALHE GANHOS E GASTOS'!B181,"")</f>
        <v>7.6.2</v>
      </c>
      <c r="C182" s="48" t="str">
        <f>IF('DETALHE GANHOS E GASTOS'!C181&lt;&gt;"",'DETALHE GANHOS E GASTOS'!C181,"")</f>
        <v>Subsídios à exploração</v>
      </c>
      <c r="D182" s="87">
        <f>IFERROR(INDEX('DETALHE GANHOS E GASTOS'!$C$131:$H$210,MATCH($C182,'DETALHE GANHOS E GASTOS'!$C$131:$C$210,0),4),"")</f>
        <v>0</v>
      </c>
      <c r="E182" s="87">
        <f>IFERROR(INDEX('DETALHE GANHOS E GASTOS'!$C$131:$H$210,MATCH($C182,'DETALHE GANHOS E GASTOS'!$C$131:$C$210,0),5),"")</f>
        <v>0</v>
      </c>
      <c r="F182" s="87">
        <f>IFERROR(INDEX('DETALHE GANHOS E GASTOS'!$C$131:$H$210,MATCH($C182,'DETALHE GANHOS E GASTOS'!$C$131:$C$210,0),6),"")</f>
        <v>0</v>
      </c>
      <c r="G182" s="308"/>
      <c r="H182" s="61" t="str">
        <f t="shared" si="146"/>
        <v/>
      </c>
    </row>
    <row r="183" spans="2:8" ht="15" customHeight="1" x14ac:dyDescent="0.25">
      <c r="B183" s="77" t="str">
        <f>IF('DETALHE GANHOS E GASTOS'!B182&lt;&gt;"",'DETALHE GANHOS E GASTOS'!B182,"")</f>
        <v>7.6.3</v>
      </c>
      <c r="C183" s="48" t="str">
        <f>IF('DETALHE GANHOS E GASTOS'!C182&lt;&gt;"",'DETALHE GANHOS E GASTOS'!C182,"")</f>
        <v>Ganhos em investimentos de capital</v>
      </c>
      <c r="D183" s="87">
        <f>IFERROR(INDEX('DETALHE GANHOS E GASTOS'!$C$131:$H$210,MATCH($C183,'DETALHE GANHOS E GASTOS'!$C$131:$C$210,0),4),"")</f>
        <v>0</v>
      </c>
      <c r="E183" s="87">
        <f>IFERROR(INDEX('DETALHE GANHOS E GASTOS'!$C$131:$H$210,MATCH($C183,'DETALHE GANHOS E GASTOS'!$C$131:$C$210,0),5),"")</f>
        <v>0</v>
      </c>
      <c r="F183" s="87">
        <f>IFERROR(INDEX('DETALHE GANHOS E GASTOS'!$C$131:$H$210,MATCH($C183,'DETALHE GANHOS E GASTOS'!$C$131:$C$210,0),6),"")</f>
        <v>0</v>
      </c>
      <c r="G183" s="308"/>
      <c r="H183" s="61" t="str">
        <f t="shared" si="146"/>
        <v/>
      </c>
    </row>
    <row r="184" spans="2:8" ht="15" customHeight="1" x14ac:dyDescent="0.25">
      <c r="B184" s="77" t="str">
        <f>IF('DETALHE GANHOS E GASTOS'!B183&lt;&gt;"",'DETALHE GANHOS E GASTOS'!B183,"")</f>
        <v>7.6.4</v>
      </c>
      <c r="C184" s="48" t="str">
        <f>IF('DETALHE GANHOS E GASTOS'!C183&lt;&gt;"",'DETALHE GANHOS E GASTOS'!C183,"")</f>
        <v>Ganhos em inventários e activos biológicos</v>
      </c>
      <c r="D184" s="87">
        <f>IFERROR(INDEX('DETALHE GANHOS E GASTOS'!$C$131:$H$210,MATCH($C184,'DETALHE GANHOS E GASTOS'!$C$131:$C$210,0),4),"")</f>
        <v>0</v>
      </c>
      <c r="E184" s="87">
        <f>IFERROR(INDEX('DETALHE GANHOS E GASTOS'!$C$131:$H$210,MATCH($C184,'DETALHE GANHOS E GASTOS'!$C$131:$C$210,0),5),"")</f>
        <v>0</v>
      </c>
      <c r="F184" s="87">
        <f>IFERROR(INDEX('DETALHE GANHOS E GASTOS'!$C$131:$H$210,MATCH($C184,'DETALHE GANHOS E GASTOS'!$C$131:$C$210,0),6),"")</f>
        <v>0</v>
      </c>
      <c r="G184" s="308"/>
      <c r="H184" s="61" t="str">
        <f t="shared" si="146"/>
        <v/>
      </c>
    </row>
    <row r="185" spans="2:8" ht="15" customHeight="1" x14ac:dyDescent="0.25">
      <c r="B185" s="77" t="str">
        <f>IF('DETALHE GANHOS E GASTOS'!B184&lt;&gt;"",'DETALHE GANHOS E GASTOS'!B184,"")</f>
        <v>7.6.5</v>
      </c>
      <c r="C185" s="48" t="str">
        <f>IF('DETALHE GANHOS E GASTOS'!C184&lt;&gt;"",'DETALHE GANHOS E GASTOS'!C184,"")</f>
        <v/>
      </c>
      <c r="D185" s="87" t="str">
        <f>IFERROR(INDEX('DETALHE GANHOS E GASTOS'!$C$131:$H$210,MATCH($C185,'DETALHE GANHOS E GASTOS'!$C$131:$C$210,0),4),"")</f>
        <v/>
      </c>
      <c r="E185" s="87" t="str">
        <f>IFERROR(INDEX('DETALHE GANHOS E GASTOS'!$C$131:$H$210,MATCH($C185,'DETALHE GANHOS E GASTOS'!$C$131:$C$210,0),5),"")</f>
        <v/>
      </c>
      <c r="F185" s="87" t="str">
        <f>IFERROR(INDEX('DETALHE GANHOS E GASTOS'!$C$131:$H$210,MATCH($C185,'DETALHE GANHOS E GASTOS'!$C$131:$C$210,0),6),"")</f>
        <v/>
      </c>
      <c r="G185" s="308"/>
      <c r="H185" s="61" t="str">
        <f t="shared" si="146"/>
        <v/>
      </c>
    </row>
    <row r="186" spans="2:8" ht="15" customHeight="1" x14ac:dyDescent="0.25">
      <c r="B186" s="77" t="str">
        <f>IF('DETALHE GANHOS E GASTOS'!B185&lt;&gt;"",'DETALHE GANHOS E GASTOS'!B185,"")</f>
        <v>7.6.6</v>
      </c>
      <c r="C186" s="48" t="str">
        <f>IF('DETALHE GANHOS E GASTOS'!C185&lt;&gt;"",'DETALHE GANHOS E GASTOS'!C185,"")</f>
        <v/>
      </c>
      <c r="D186" s="87" t="str">
        <f>IFERROR(INDEX('DETALHE GANHOS E GASTOS'!$C$131:$H$210,MATCH($C186,'DETALHE GANHOS E GASTOS'!$C$131:$C$210,0),4),"")</f>
        <v/>
      </c>
      <c r="E186" s="87" t="str">
        <f>IFERROR(INDEX('DETALHE GANHOS E GASTOS'!$C$131:$H$210,MATCH($C186,'DETALHE GANHOS E GASTOS'!$C$131:$C$210,0),5),"")</f>
        <v/>
      </c>
      <c r="F186" s="87" t="str">
        <f>IFERROR(INDEX('DETALHE GANHOS E GASTOS'!$C$131:$H$210,MATCH($C186,'DETALHE GANHOS E GASTOS'!$C$131:$C$210,0),6),"")</f>
        <v/>
      </c>
      <c r="G186" s="308"/>
      <c r="H186" s="61" t="str">
        <f t="shared" si="146"/>
        <v/>
      </c>
    </row>
    <row r="187" spans="2:8" ht="15" customHeight="1" x14ac:dyDescent="0.25">
      <c r="B187" s="77" t="str">
        <f>IF('DETALHE GANHOS E GASTOS'!B186&lt;&gt;"",'DETALHE GANHOS E GASTOS'!B186,"")</f>
        <v>7.6.7</v>
      </c>
      <c r="C187" s="48" t="str">
        <f>IF('DETALHE GANHOS E GASTOS'!C186&lt;&gt;"",'DETALHE GANHOS E GASTOS'!C186,"")</f>
        <v/>
      </c>
      <c r="D187" s="87" t="str">
        <f>IFERROR(INDEX('DETALHE GANHOS E GASTOS'!$C$131:$H$210,MATCH($C187,'DETALHE GANHOS E GASTOS'!$C$131:$C$210,0),4),"")</f>
        <v/>
      </c>
      <c r="E187" s="87" t="str">
        <f>IFERROR(INDEX('DETALHE GANHOS E GASTOS'!$C$131:$H$210,MATCH($C187,'DETALHE GANHOS E GASTOS'!$C$131:$C$210,0),5),"")</f>
        <v/>
      </c>
      <c r="F187" s="87" t="str">
        <f>IFERROR(INDEX('DETALHE GANHOS E GASTOS'!$C$131:$H$210,MATCH($C187,'DETALHE GANHOS E GASTOS'!$C$131:$C$210,0),6),"")</f>
        <v/>
      </c>
      <c r="G187" s="308"/>
      <c r="H187" s="61" t="str">
        <f t="shared" si="146"/>
        <v/>
      </c>
    </row>
    <row r="188" spans="2:8" ht="15" customHeight="1" x14ac:dyDescent="0.25">
      <c r="B188" s="77" t="str">
        <f>IF('DETALHE GANHOS E GASTOS'!B187&lt;&gt;"",'DETALHE GANHOS E GASTOS'!B187,"")</f>
        <v>7.6.8</v>
      </c>
      <c r="C188" s="48" t="str">
        <f>IF('DETALHE GANHOS E GASTOS'!C187&lt;&gt;"",'DETALHE GANHOS E GASTOS'!C187,"")</f>
        <v/>
      </c>
      <c r="D188" s="87" t="str">
        <f>IFERROR(INDEX('DETALHE GANHOS E GASTOS'!$C$131:$H$210,MATCH($C188,'DETALHE GANHOS E GASTOS'!$C$131:$C$210,0),4),"")</f>
        <v/>
      </c>
      <c r="E188" s="87" t="str">
        <f>IFERROR(INDEX('DETALHE GANHOS E GASTOS'!$C$131:$H$210,MATCH($C188,'DETALHE GANHOS E GASTOS'!$C$131:$C$210,0),5),"")</f>
        <v/>
      </c>
      <c r="F188" s="87" t="str">
        <f>IFERROR(INDEX('DETALHE GANHOS E GASTOS'!$C$131:$H$210,MATCH($C188,'DETALHE GANHOS E GASTOS'!$C$131:$C$210,0),6),"")</f>
        <v/>
      </c>
      <c r="G188" s="308"/>
      <c r="H188" s="61" t="str">
        <f t="shared" si="146"/>
        <v/>
      </c>
    </row>
    <row r="189" spans="2:8" ht="15" customHeight="1" x14ac:dyDescent="0.25">
      <c r="B189" s="77" t="str">
        <f>IF('DETALHE GANHOS E GASTOS'!B188&lt;&gt;"",'DETALHE GANHOS E GASTOS'!B188,"")</f>
        <v>7.6.9</v>
      </c>
      <c r="C189" s="48" t="str">
        <f>IF('DETALHE GANHOS E GASTOS'!C188&lt;&gt;"",'DETALHE GANHOS E GASTOS'!C188,"")</f>
        <v>Outros rendimentos alheios ao valor acrescentado</v>
      </c>
      <c r="D189" s="87">
        <f>IFERROR(INDEX('DETALHE GANHOS E GASTOS'!$C$131:$H$210,MATCH($C189,'DETALHE GANHOS E GASTOS'!$C$131:$C$210,0),4),"")</f>
        <v>0</v>
      </c>
      <c r="E189" s="87">
        <f>IFERROR(INDEX('DETALHE GANHOS E GASTOS'!$C$131:$H$210,MATCH($C189,'DETALHE GANHOS E GASTOS'!$C$131:$C$210,0),5),"")</f>
        <v>0</v>
      </c>
      <c r="F189" s="87">
        <f>IFERROR(INDEX('DETALHE GANHOS E GASTOS'!$C$131:$H$210,MATCH($C189,'DETALHE GANHOS E GASTOS'!$C$131:$C$210,0),6),"")</f>
        <v>0</v>
      </c>
      <c r="G189" s="308"/>
      <c r="H189" s="61" t="str">
        <f t="shared" si="146"/>
        <v/>
      </c>
    </row>
    <row r="190" spans="2:8" ht="15" customHeight="1" x14ac:dyDescent="0.25">
      <c r="B190" s="77" t="str">
        <f>IF('DETALHE GANHOS E GASTOS'!B189&lt;&gt;"",'DETALHE GANHOS E GASTOS'!B189,"")</f>
        <v/>
      </c>
      <c r="C190" s="48" t="str">
        <f>IF('DETALHE GANHOS E GASTOS'!C189&lt;&gt;"",'DETALHE GANHOS E GASTOS'!C189,"")</f>
        <v/>
      </c>
      <c r="D190" s="87" t="str">
        <f>IFERROR(INDEX('DETALHE GANHOS E GASTOS'!$C$131:$H$210,MATCH($C190,'DETALHE GANHOS E GASTOS'!$C$131:$C$210,0),4),"")</f>
        <v/>
      </c>
      <c r="E190" s="87" t="str">
        <f>IFERROR(INDEX('DETALHE GANHOS E GASTOS'!$C$131:$H$210,MATCH($C190,'DETALHE GANHOS E GASTOS'!$C$131:$C$210,0),5),"")</f>
        <v/>
      </c>
      <c r="F190" s="87" t="str">
        <f>IFERROR(INDEX('DETALHE GANHOS E GASTOS'!$C$131:$H$210,MATCH($C190,'DETALHE GANHOS E GASTOS'!$C$131:$C$210,0),6),"")</f>
        <v/>
      </c>
      <c r="G190" s="308"/>
      <c r="H190" s="61" t="str">
        <f t="shared" si="146"/>
        <v/>
      </c>
    </row>
    <row r="191" spans="2:8" ht="15" customHeight="1" x14ac:dyDescent="0.25">
      <c r="B191" s="77" t="str">
        <f>IF('DETALHE GANHOS E GASTOS'!B190&lt;&gt;"",'DETALHE GANHOS E GASTOS'!B190,"")</f>
        <v/>
      </c>
      <c r="C191" s="48" t="str">
        <f>IF('DETALHE GANHOS E GASTOS'!C190&lt;&gt;"",'DETALHE GANHOS E GASTOS'!C190,"")</f>
        <v/>
      </c>
      <c r="D191" s="87" t="str">
        <f>IFERROR(INDEX('DETALHE GANHOS E GASTOS'!$C$131:$H$210,MATCH($C191,'DETALHE GANHOS E GASTOS'!$C$131:$C$210,0),4),"")</f>
        <v/>
      </c>
      <c r="E191" s="87" t="str">
        <f>IFERROR(INDEX('DETALHE GANHOS E GASTOS'!$C$131:$H$210,MATCH($C191,'DETALHE GANHOS E GASTOS'!$C$131:$C$210,0),5),"")</f>
        <v/>
      </c>
      <c r="F191" s="87" t="str">
        <f>IFERROR(INDEX('DETALHE GANHOS E GASTOS'!$C$131:$H$210,MATCH($C191,'DETALHE GANHOS E GASTOS'!$C$131:$C$210,0),6),"")</f>
        <v/>
      </c>
      <c r="G191" s="308"/>
      <c r="H191" s="61" t="str">
        <f t="shared" si="146"/>
        <v/>
      </c>
    </row>
    <row r="192" spans="2:8" ht="15" customHeight="1" x14ac:dyDescent="0.25">
      <c r="B192" s="73" t="str">
        <f>IF('DETALHE GANHOS E GASTOS'!B191&lt;&gt;"",'DETALHE GANHOS E GASTOS'!B191,"")</f>
        <v>7.8</v>
      </c>
      <c r="C192" s="53" t="str">
        <f>IF('DETALHE GANHOS E GASTOS'!C191&lt;&gt;"",'DETALHE GANHOS E GASTOS'!C191,"")</f>
        <v>RENDIMENTOS E GANHOS FINANCEIROS</v>
      </c>
      <c r="D192" s="211">
        <f t="shared" ref="D192" si="162">SUM(D193:D203)</f>
        <v>0</v>
      </c>
      <c r="E192" s="211">
        <f t="shared" ref="E192" si="163">SUM(E193:E203)</f>
        <v>0</v>
      </c>
      <c r="F192" s="211">
        <f t="shared" ref="F192:G192" si="164">SUM(F193:F203)</f>
        <v>526.20000000000005</v>
      </c>
      <c r="G192" s="309">
        <f t="shared" si="164"/>
        <v>0</v>
      </c>
      <c r="H192" s="212">
        <f t="shared" si="146"/>
        <v>-1</v>
      </c>
    </row>
    <row r="193" spans="2:8" ht="15" customHeight="1" x14ac:dyDescent="0.25">
      <c r="B193" s="77" t="str">
        <f>IF('DETALHE GANHOS E GASTOS'!B192&lt;&gt;"",'DETALHE GANHOS E GASTOS'!B192,"")</f>
        <v>7.8.1</v>
      </c>
      <c r="C193" s="48" t="str">
        <f>IF('DETALHE GANHOS E GASTOS'!C192&lt;&gt;"",'DETALHE GANHOS E GASTOS'!C192,"")</f>
        <v>Juros obtidos</v>
      </c>
      <c r="D193" s="87">
        <f>IFERROR(INDEX('DETALHE GANHOS E GASTOS'!$C$131:$H$210,MATCH($C193,'DETALHE GANHOS E GASTOS'!$C$131:$C$210,0),4),"")</f>
        <v>0</v>
      </c>
      <c r="E193" s="87">
        <f>IFERROR(INDEX('DETALHE GANHOS E GASTOS'!$C$131:$H$210,MATCH($C193,'DETALHE GANHOS E GASTOS'!$C$131:$C$210,0),5),"")</f>
        <v>0</v>
      </c>
      <c r="F193" s="87">
        <f>IFERROR(INDEX('DETALHE GANHOS E GASTOS'!$C$131:$H$210,MATCH($C193,'DETALHE GANHOS E GASTOS'!$C$131:$C$210,0),6),"")</f>
        <v>526.20000000000005</v>
      </c>
      <c r="G193" s="308"/>
      <c r="H193" s="61">
        <f t="shared" si="146"/>
        <v>-1</v>
      </c>
    </row>
    <row r="194" spans="2:8" ht="15" customHeight="1" x14ac:dyDescent="0.25">
      <c r="B194" s="77" t="str">
        <f>IF('DETALHE GANHOS E GASTOS'!B193&lt;&gt;"",'DETALHE GANHOS E GASTOS'!B193,"")</f>
        <v>7.8.2</v>
      </c>
      <c r="C194" s="48" t="str">
        <f>IF('DETALHE GANHOS E GASTOS'!C193&lt;&gt;"",'DETALHE GANHOS E GASTOS'!C193,"")</f>
        <v>Rendimentos de activos tangíveis de investimento</v>
      </c>
      <c r="D194" s="87">
        <f>IFERROR(INDEX('DETALHE GANHOS E GASTOS'!$C$131:$H$210,MATCH($C194,'DETALHE GANHOS E GASTOS'!$C$131:$C$210,0),4),"")</f>
        <v>0</v>
      </c>
      <c r="E194" s="87">
        <f>IFERROR(INDEX('DETALHE GANHOS E GASTOS'!$C$131:$H$210,MATCH($C194,'DETALHE GANHOS E GASTOS'!$C$131:$C$210,0),5),"")</f>
        <v>0</v>
      </c>
      <c r="F194" s="87">
        <f>IFERROR(INDEX('DETALHE GANHOS E GASTOS'!$C$131:$H$210,MATCH($C194,'DETALHE GANHOS E GASTOS'!$C$131:$C$210,0),6),"")</f>
        <v>0</v>
      </c>
      <c r="G194" s="308"/>
      <c r="H194" s="61" t="str">
        <f t="shared" si="146"/>
        <v/>
      </c>
    </row>
    <row r="195" spans="2:8" ht="15" customHeight="1" x14ac:dyDescent="0.25">
      <c r="B195" s="77" t="str">
        <f>IF('DETALHE GANHOS E GASTOS'!B194&lt;&gt;"",'DETALHE GANHOS E GASTOS'!B194,"")</f>
        <v>7.8.3</v>
      </c>
      <c r="C195" s="48" t="str">
        <f>IF('DETALHE GANHOS E GASTOS'!C194&lt;&gt;"",'DETALHE GANHOS E GASTOS'!C194,"")</f>
        <v>Rendimentos de investimentos financeiros</v>
      </c>
      <c r="D195" s="87">
        <f>IFERROR(INDEX('DETALHE GANHOS E GASTOS'!$C$131:$H$210,MATCH($C195,'DETALHE GANHOS E GASTOS'!$C$131:$C$210,0),4),"")</f>
        <v>0</v>
      </c>
      <c r="E195" s="87">
        <f>IFERROR(INDEX('DETALHE GANHOS E GASTOS'!$C$131:$H$210,MATCH($C195,'DETALHE GANHOS E GASTOS'!$C$131:$C$210,0),5),"")</f>
        <v>0</v>
      </c>
      <c r="F195" s="87">
        <f>IFERROR(INDEX('DETALHE GANHOS E GASTOS'!$C$131:$H$210,MATCH($C195,'DETALHE GANHOS E GASTOS'!$C$131:$C$210,0),6),"")</f>
        <v>0</v>
      </c>
      <c r="G195" s="308"/>
      <c r="H195" s="61" t="str">
        <f t="shared" si="146"/>
        <v/>
      </c>
    </row>
    <row r="196" spans="2:8" ht="15" customHeight="1" x14ac:dyDescent="0.25">
      <c r="B196" s="77" t="str">
        <f>IF('DETALHE GANHOS E GASTOS'!B195&lt;&gt;"",'DETALHE GANHOS E GASTOS'!B195,"")</f>
        <v>7.8.4</v>
      </c>
      <c r="C196" s="48" t="str">
        <f>IF('DETALHE GANHOS E GASTOS'!C195&lt;&gt;"",'DETALHE GANHOS E GASTOS'!C195,"")</f>
        <v>Diferencas de câmbio favoráveis</v>
      </c>
      <c r="D196" s="87">
        <f>IFERROR(INDEX('DETALHE GANHOS E GASTOS'!$C$131:$H$210,MATCH($C196,'DETALHE GANHOS E GASTOS'!$C$131:$C$210,0),4),"")</f>
        <v>0</v>
      </c>
      <c r="E196" s="87">
        <f>IFERROR(INDEX('DETALHE GANHOS E GASTOS'!$C$131:$H$210,MATCH($C196,'DETALHE GANHOS E GASTOS'!$C$131:$C$210,0),5),"")</f>
        <v>0</v>
      </c>
      <c r="F196" s="87">
        <f>IFERROR(INDEX('DETALHE GANHOS E GASTOS'!$C$131:$H$210,MATCH($C196,'DETALHE GANHOS E GASTOS'!$C$131:$C$210,0),6),"")</f>
        <v>0</v>
      </c>
      <c r="G196" s="308"/>
      <c r="H196" s="61" t="str">
        <f t="shared" ref="H196:H212" si="165">IFERROR(IF(AND(F196&lt;0,G196&lt;=0),-(G196-F196)/F196,IF(AND(F196&lt;0,G196&gt;0),-(G196-F196)/F196,(G196-F196)/F196)),"")</f>
        <v/>
      </c>
    </row>
    <row r="197" spans="2:8" ht="15" customHeight="1" x14ac:dyDescent="0.25">
      <c r="B197" s="77" t="str">
        <f>IF('DETALHE GANHOS E GASTOS'!B196&lt;&gt;"",'DETALHE GANHOS E GASTOS'!B196,"")</f>
        <v>7.8.5</v>
      </c>
      <c r="C197" s="48" t="str">
        <f>IF('DETALHE GANHOS E GASTOS'!C196&lt;&gt;"",'DETALHE GANHOS E GASTOS'!C196,"")</f>
        <v>Descontos de pronto pagamento obtidos</v>
      </c>
      <c r="D197" s="87">
        <f>IFERROR(INDEX('DETALHE GANHOS E GASTOS'!$C$131:$H$210,MATCH($C197,'DETALHE GANHOS E GASTOS'!$C$131:$C$210,0),4),"")</f>
        <v>0</v>
      </c>
      <c r="E197" s="87">
        <f>IFERROR(INDEX('DETALHE GANHOS E GASTOS'!$C$131:$H$210,MATCH($C197,'DETALHE GANHOS E GASTOS'!$C$131:$C$210,0),5),"")</f>
        <v>0</v>
      </c>
      <c r="F197" s="87">
        <f>IFERROR(INDEX('DETALHE GANHOS E GASTOS'!$C$131:$H$210,MATCH($C197,'DETALHE GANHOS E GASTOS'!$C$131:$C$210,0),6),"")</f>
        <v>0</v>
      </c>
      <c r="G197" s="308"/>
      <c r="H197" s="61" t="str">
        <f t="shared" si="165"/>
        <v/>
      </c>
    </row>
    <row r="198" spans="2:8" ht="15" customHeight="1" x14ac:dyDescent="0.25">
      <c r="B198" s="77" t="str">
        <f>IF('DETALHE GANHOS E GASTOS'!B197&lt;&gt;"",'DETALHE GANHOS E GASTOS'!B197,"")</f>
        <v>7.8.6</v>
      </c>
      <c r="C198" s="48" t="str">
        <f>IF('DETALHE GANHOS E GASTOS'!C197&lt;&gt;"",'DETALHE GANHOS E GASTOS'!C197,"")</f>
        <v/>
      </c>
      <c r="D198" s="87" t="str">
        <f>IFERROR(INDEX('DETALHE GANHOS E GASTOS'!$C$131:$H$210,MATCH($C198,'DETALHE GANHOS E GASTOS'!$C$131:$C$210,0),4),"")</f>
        <v/>
      </c>
      <c r="E198" s="87" t="str">
        <f>IFERROR(INDEX('DETALHE GANHOS E GASTOS'!$C$131:$H$210,MATCH($C198,'DETALHE GANHOS E GASTOS'!$C$131:$C$210,0),5),"")</f>
        <v/>
      </c>
      <c r="F198" s="87" t="str">
        <f>IFERROR(INDEX('DETALHE GANHOS E GASTOS'!$C$131:$H$210,MATCH($C198,'DETALHE GANHOS E GASTOS'!$C$131:$C$210,0),6),"")</f>
        <v/>
      </c>
      <c r="G198" s="308"/>
      <c r="H198" s="61" t="str">
        <f t="shared" si="165"/>
        <v/>
      </c>
    </row>
    <row r="199" spans="2:8" ht="15" customHeight="1" x14ac:dyDescent="0.25">
      <c r="B199" s="77" t="str">
        <f>IF('DETALHE GANHOS E GASTOS'!B198&lt;&gt;"",'DETALHE GANHOS E GASTOS'!B198,"")</f>
        <v>7.8.7</v>
      </c>
      <c r="C199" s="48" t="str">
        <f>IF('DETALHE GANHOS E GASTOS'!C198&lt;&gt;"",'DETALHE GANHOS E GASTOS'!C198,"")</f>
        <v/>
      </c>
      <c r="D199" s="87" t="str">
        <f>IFERROR(INDEX('DETALHE GANHOS E GASTOS'!$C$131:$H$210,MATCH($C199,'DETALHE GANHOS E GASTOS'!$C$131:$C$210,0),4),"")</f>
        <v/>
      </c>
      <c r="E199" s="87" t="str">
        <f>IFERROR(INDEX('DETALHE GANHOS E GASTOS'!$C$131:$H$210,MATCH($C199,'DETALHE GANHOS E GASTOS'!$C$131:$C$210,0),5),"")</f>
        <v/>
      </c>
      <c r="F199" s="87" t="str">
        <f>IFERROR(INDEX('DETALHE GANHOS E GASTOS'!$C$131:$H$210,MATCH($C199,'DETALHE GANHOS E GASTOS'!$C$131:$C$210,0),6),"")</f>
        <v/>
      </c>
      <c r="G199" s="308"/>
      <c r="H199" s="61" t="str">
        <f t="shared" si="165"/>
        <v/>
      </c>
    </row>
    <row r="200" spans="2:8" ht="15" customHeight="1" x14ac:dyDescent="0.25">
      <c r="B200" s="77" t="str">
        <f>IF('DETALHE GANHOS E GASTOS'!B199&lt;&gt;"",'DETALHE GANHOS E GASTOS'!B199,"")</f>
        <v>7.8.8</v>
      </c>
      <c r="C200" s="48" t="str">
        <f>IF('DETALHE GANHOS E GASTOS'!C199&lt;&gt;"",'DETALHE GANHOS E GASTOS'!C199,"")</f>
        <v/>
      </c>
      <c r="D200" s="87" t="str">
        <f>IFERROR(INDEX('DETALHE GANHOS E GASTOS'!$C$131:$H$210,MATCH($C200,'DETALHE GANHOS E GASTOS'!$C$131:$C$210,0),4),"")</f>
        <v/>
      </c>
      <c r="E200" s="87" t="str">
        <f>IFERROR(INDEX('DETALHE GANHOS E GASTOS'!$C$131:$H$210,MATCH($C200,'DETALHE GANHOS E GASTOS'!$C$131:$C$210,0),5),"")</f>
        <v/>
      </c>
      <c r="F200" s="87" t="str">
        <f>IFERROR(INDEX('DETALHE GANHOS E GASTOS'!$C$131:$H$210,MATCH($C200,'DETALHE GANHOS E GASTOS'!$C$131:$C$210,0),6),"")</f>
        <v/>
      </c>
      <c r="G200" s="308"/>
      <c r="H200" s="61" t="str">
        <f t="shared" si="165"/>
        <v/>
      </c>
    </row>
    <row r="201" spans="2:8" ht="15" customHeight="1" x14ac:dyDescent="0.25">
      <c r="B201" s="77" t="str">
        <f>IF('DETALHE GANHOS E GASTOS'!B200&lt;&gt;"",'DETALHE GANHOS E GASTOS'!B200,"")</f>
        <v>7.8.9</v>
      </c>
      <c r="C201" s="48" t="str">
        <f>IF('DETALHE GANHOS E GASTOS'!C200&lt;&gt;"",'DETALHE GANHOS E GASTOS'!C200,"")</f>
        <v>Outros rendimentos e ganhos financeiros</v>
      </c>
      <c r="D201" s="87">
        <f>IFERROR(INDEX('DETALHE GANHOS E GASTOS'!$C$131:$H$210,MATCH($C201,'DETALHE GANHOS E GASTOS'!$C$131:$C$210,0),4),"")</f>
        <v>0</v>
      </c>
      <c r="E201" s="87">
        <f>IFERROR(INDEX('DETALHE GANHOS E GASTOS'!$C$131:$H$210,MATCH($C201,'DETALHE GANHOS E GASTOS'!$C$131:$C$210,0),5),"")</f>
        <v>0</v>
      </c>
      <c r="F201" s="87">
        <f>IFERROR(INDEX('DETALHE GANHOS E GASTOS'!$C$131:$H$210,MATCH($C201,'DETALHE GANHOS E GASTOS'!$C$131:$C$210,0),6),"")</f>
        <v>0</v>
      </c>
      <c r="G201" s="308"/>
      <c r="H201" s="61" t="str">
        <f t="shared" si="165"/>
        <v/>
      </c>
    </row>
    <row r="202" spans="2:8" ht="15" customHeight="1" x14ac:dyDescent="0.25">
      <c r="B202" s="77" t="str">
        <f>IF('DETALHE GANHOS E GASTOS'!B201&lt;&gt;"",'DETALHE GANHOS E GASTOS'!B201,"")</f>
        <v/>
      </c>
      <c r="C202" s="48" t="str">
        <f>IF('DETALHE GANHOS E GASTOS'!C201&lt;&gt;"",'DETALHE GANHOS E GASTOS'!C201,"")</f>
        <v/>
      </c>
      <c r="D202" s="87" t="str">
        <f>IFERROR(INDEX('DETALHE GANHOS E GASTOS'!$C$131:$H$210,MATCH($C202,'DETALHE GANHOS E GASTOS'!$C$131:$C$210,0),4),"")</f>
        <v/>
      </c>
      <c r="E202" s="87" t="str">
        <f>IFERROR(INDEX('DETALHE GANHOS E GASTOS'!$C$131:$H$210,MATCH($C202,'DETALHE GANHOS E GASTOS'!$C$131:$C$210,0),5),"")</f>
        <v/>
      </c>
      <c r="F202" s="87" t="str">
        <f>IFERROR(INDEX('DETALHE GANHOS E GASTOS'!$C$131:$H$210,MATCH($C202,'DETALHE GANHOS E GASTOS'!$C$131:$C$210,0),6),"")</f>
        <v/>
      </c>
      <c r="G202" s="308"/>
      <c r="H202" s="61" t="str">
        <f t="shared" si="165"/>
        <v/>
      </c>
    </row>
    <row r="203" spans="2:8" ht="15" customHeight="1" x14ac:dyDescent="0.25">
      <c r="B203" s="77" t="str">
        <f>IF('DETALHE GANHOS E GASTOS'!B202&lt;&gt;"",'DETALHE GANHOS E GASTOS'!B202,"")</f>
        <v/>
      </c>
      <c r="C203" s="48" t="str">
        <f>IF('DETALHE GANHOS E GASTOS'!C202&lt;&gt;"",'DETALHE GANHOS E GASTOS'!C202,"")</f>
        <v/>
      </c>
      <c r="D203" s="87" t="str">
        <f>IFERROR(INDEX('DETALHE GANHOS E GASTOS'!$C$131:$H$210,MATCH($C203,'DETALHE GANHOS E GASTOS'!$C$131:$C$210,0),4),"")</f>
        <v/>
      </c>
      <c r="E203" s="87" t="str">
        <f>IFERROR(INDEX('DETALHE GANHOS E GASTOS'!$C$131:$H$210,MATCH($C203,'DETALHE GANHOS E GASTOS'!$C$131:$C$210,0),5),"")</f>
        <v/>
      </c>
      <c r="F203" s="87" t="str">
        <f>IFERROR(INDEX('DETALHE GANHOS E GASTOS'!$C$131:$H$210,MATCH($C203,'DETALHE GANHOS E GASTOS'!$C$131:$C$210,0),6),"")</f>
        <v/>
      </c>
      <c r="G203" s="308"/>
      <c r="H203" s="61" t="str">
        <f t="shared" si="165"/>
        <v/>
      </c>
    </row>
    <row r="204" spans="2:8" ht="15" customHeight="1" x14ac:dyDescent="0.25">
      <c r="B204" s="73" t="str">
        <f>IF('DETALHE GANHOS E GASTOS'!B203&lt;&gt;"",'DETALHE GANHOS E GASTOS'!B203,"")</f>
        <v>7.9</v>
      </c>
      <c r="C204" s="53" t="str">
        <f>IF('DETALHE GANHOS E GASTOS'!C203&lt;&gt;"",'DETALHE GANHOS E GASTOS'!C203,"")</f>
        <v>GANHOS POR AUMENTO DO JUSTO VALOR</v>
      </c>
      <c r="D204" s="211">
        <f t="shared" ref="D204" si="166">SUM(D205:D211)</f>
        <v>0</v>
      </c>
      <c r="E204" s="211">
        <f t="shared" ref="E204" si="167">SUM(E205:E211)</f>
        <v>0</v>
      </c>
      <c r="F204" s="211">
        <f t="shared" ref="F204:G204" si="168">SUM(F205:F211)</f>
        <v>0</v>
      </c>
      <c r="G204" s="309">
        <f t="shared" si="168"/>
        <v>0</v>
      </c>
      <c r="H204" s="212" t="str">
        <f t="shared" si="165"/>
        <v/>
      </c>
    </row>
    <row r="205" spans="2:8" ht="15" customHeight="1" x14ac:dyDescent="0.25">
      <c r="B205" s="77" t="str">
        <f>IF('DETALHE GANHOS E GASTOS'!B204&lt;&gt;"",'DETALHE GANHOS E GASTOS'!B204,"")</f>
        <v>7.9.1</v>
      </c>
      <c r="C205" s="48" t="str">
        <f>IF('DETALHE GANHOS E GASTOS'!C204&lt;&gt;"",'DETALHE GANHOS E GASTOS'!C204,"")</f>
        <v>Instrumentos financeiros</v>
      </c>
      <c r="D205" s="87">
        <f>IFERROR(INDEX('DETALHE GANHOS E GASTOS'!$C$131:$H$210,MATCH($C205,'DETALHE GANHOS E GASTOS'!$C$131:$C$210,0),4),"")</f>
        <v>0</v>
      </c>
      <c r="E205" s="87">
        <f>IFERROR(INDEX('DETALHE GANHOS E GASTOS'!$C$131:$H$210,MATCH($C205,'DETALHE GANHOS E GASTOS'!$C$131:$C$210,0),5),"")</f>
        <v>0</v>
      </c>
      <c r="F205" s="87">
        <f>IFERROR(INDEX('DETALHE GANHOS E GASTOS'!$C$131:$H$210,MATCH($C205,'DETALHE GANHOS E GASTOS'!$C$131:$C$210,0),6),"")</f>
        <v>0</v>
      </c>
      <c r="G205" s="308"/>
      <c r="H205" s="61" t="str">
        <f t="shared" si="165"/>
        <v/>
      </c>
    </row>
    <row r="206" spans="2:8" ht="15" customHeight="1" x14ac:dyDescent="0.25">
      <c r="B206" s="77" t="str">
        <f>IF('DETALHE GANHOS E GASTOS'!B205&lt;&gt;"",'DETALHE GANHOS E GASTOS'!B205,"")</f>
        <v>7.9.2</v>
      </c>
      <c r="C206" s="48" t="str">
        <f>IF('DETALHE GANHOS E GASTOS'!C205&lt;&gt;"",'DETALHE GANHOS E GASTOS'!C205,"")</f>
        <v>Activos tangiveis de investimento</v>
      </c>
      <c r="D206" s="87">
        <f>IFERROR(INDEX('DETALHE GANHOS E GASTOS'!$C$131:$H$210,MATCH($C206,'DETALHE GANHOS E GASTOS'!$C$131:$C$210,0),4),"")</f>
        <v>0</v>
      </c>
      <c r="E206" s="87">
        <f>IFERROR(INDEX('DETALHE GANHOS E GASTOS'!$C$131:$H$210,MATCH($C206,'DETALHE GANHOS E GASTOS'!$C$131:$C$210,0),5),"")</f>
        <v>0</v>
      </c>
      <c r="F206" s="87">
        <f>IFERROR(INDEX('DETALHE GANHOS E GASTOS'!$C$131:$H$210,MATCH($C206,'DETALHE GANHOS E GASTOS'!$C$131:$C$210,0),6),"")</f>
        <v>0</v>
      </c>
      <c r="G206" s="308"/>
      <c r="H206" s="61" t="str">
        <f t="shared" si="165"/>
        <v/>
      </c>
    </row>
    <row r="207" spans="2:8" ht="15" customHeight="1" x14ac:dyDescent="0.25">
      <c r="B207" s="77" t="str">
        <f>IF('DETALHE GANHOS E GASTOS'!B206&lt;&gt;"",'DETALHE GANHOS E GASTOS'!B206,"")</f>
        <v>7.9.3</v>
      </c>
      <c r="C207" s="48" t="str">
        <f>IF('DETALHE GANHOS E GASTOS'!C206&lt;&gt;"",'DETALHE GANHOS E GASTOS'!C206,"")</f>
        <v>Activos biológicos</v>
      </c>
      <c r="D207" s="87">
        <f>IFERROR(INDEX('DETALHE GANHOS E GASTOS'!$C$131:$H$210,MATCH($C207,'DETALHE GANHOS E GASTOS'!$C$131:$C$210,0),4),"")</f>
        <v>0</v>
      </c>
      <c r="E207" s="87">
        <f>IFERROR(INDEX('DETALHE GANHOS E GASTOS'!$C$131:$H$210,MATCH($C207,'DETALHE GANHOS E GASTOS'!$C$131:$C$210,0),5),"")</f>
        <v>0</v>
      </c>
      <c r="F207" s="87">
        <f>IFERROR(INDEX('DETALHE GANHOS E GASTOS'!$C$131:$H$210,MATCH($C207,'DETALHE GANHOS E GASTOS'!$C$131:$C$210,0),6),"")</f>
        <v>0</v>
      </c>
      <c r="G207" s="308"/>
      <c r="H207" s="61" t="str">
        <f t="shared" si="165"/>
        <v/>
      </c>
    </row>
    <row r="208" spans="2:8" ht="15" customHeight="1" x14ac:dyDescent="0.25">
      <c r="B208" s="77" t="str">
        <f>IF('DETALHE GANHOS E GASTOS'!B207&lt;&gt;"",'DETALHE GANHOS E GASTOS'!B207,"")</f>
        <v/>
      </c>
      <c r="C208" s="48" t="str">
        <f>IF('DETALHE GANHOS E GASTOS'!C207&lt;&gt;"",'DETALHE GANHOS E GASTOS'!C207,"")</f>
        <v/>
      </c>
      <c r="D208" s="87" t="str">
        <f>IFERROR(INDEX('DETALHE GANHOS E GASTOS'!$C$131:$H$210,MATCH($C208,'DETALHE GANHOS E GASTOS'!$C$131:$C$210,0),4),"")</f>
        <v/>
      </c>
      <c r="E208" s="87" t="str">
        <f>IFERROR(INDEX('DETALHE GANHOS E GASTOS'!$C$131:$H$210,MATCH($C208,'DETALHE GANHOS E GASTOS'!$C$131:$C$210,0),5),"")</f>
        <v/>
      </c>
      <c r="F208" s="87" t="str">
        <f>IFERROR(INDEX('DETALHE GANHOS E GASTOS'!$C$131:$H$210,MATCH($C208,'DETALHE GANHOS E GASTOS'!$C$131:$C$210,0),6),"")</f>
        <v/>
      </c>
      <c r="G208" s="308"/>
      <c r="H208" s="61" t="str">
        <f t="shared" si="165"/>
        <v/>
      </c>
    </row>
    <row r="209" spans="1:25" ht="15" customHeight="1" x14ac:dyDescent="0.25">
      <c r="B209" s="77" t="str">
        <f>IF('DETALHE GANHOS E GASTOS'!B208&lt;&gt;"",'DETALHE GANHOS E GASTOS'!B208,"")</f>
        <v/>
      </c>
      <c r="C209" s="48" t="str">
        <f>IF('DETALHE GANHOS E GASTOS'!C208&lt;&gt;"",'DETALHE GANHOS E GASTOS'!C208,"")</f>
        <v/>
      </c>
      <c r="D209" s="87" t="str">
        <f>IFERROR(INDEX('DETALHE GANHOS E GASTOS'!$C$131:$H$210,MATCH($C209,'DETALHE GANHOS E GASTOS'!$C$131:$C$210,0),4),"")</f>
        <v/>
      </c>
      <c r="E209" s="87" t="str">
        <f>IFERROR(INDEX('DETALHE GANHOS E GASTOS'!$C$131:$H$210,MATCH($C209,'DETALHE GANHOS E GASTOS'!$C$131:$C$210,0),5),"")</f>
        <v/>
      </c>
      <c r="F209" s="87" t="str">
        <f>IFERROR(INDEX('DETALHE GANHOS E GASTOS'!$C$131:$H$210,MATCH($C209,'DETALHE GANHOS E GASTOS'!$C$131:$C$210,0),6),"")</f>
        <v/>
      </c>
      <c r="G209" s="308"/>
      <c r="H209" s="61" t="str">
        <f t="shared" si="165"/>
        <v/>
      </c>
    </row>
    <row r="210" spans="1:25" ht="15" customHeight="1" x14ac:dyDescent="0.25">
      <c r="B210" s="77" t="str">
        <f>IF('DETALHE GANHOS E GASTOS'!B209&lt;&gt;"",'DETALHE GANHOS E GASTOS'!B209,"")</f>
        <v/>
      </c>
      <c r="C210" s="48" t="str">
        <f>IF('DETALHE GANHOS E GASTOS'!C209&lt;&gt;"",'DETALHE GANHOS E GASTOS'!C209,"")</f>
        <v/>
      </c>
      <c r="D210" s="87" t="str">
        <f>IFERROR(INDEX('DETALHE GANHOS E GASTOS'!$C$131:$H$210,MATCH($C210,'DETALHE GANHOS E GASTOS'!$C$131:$C$210,0),4),"")</f>
        <v/>
      </c>
      <c r="E210" s="87" t="str">
        <f>IFERROR(INDEX('DETALHE GANHOS E GASTOS'!$C$131:$H$210,MATCH($C210,'DETALHE GANHOS E GASTOS'!$C$131:$C$210,0),5),"")</f>
        <v/>
      </c>
      <c r="F210" s="87" t="str">
        <f>IFERROR(INDEX('DETALHE GANHOS E GASTOS'!$C$131:$H$210,MATCH($C210,'DETALHE GANHOS E GASTOS'!$C$131:$C$210,0),6),"")</f>
        <v/>
      </c>
      <c r="G210" s="308"/>
      <c r="H210" s="61" t="str">
        <f t="shared" si="165"/>
        <v/>
      </c>
    </row>
    <row r="211" spans="1:25" ht="15" customHeight="1" x14ac:dyDescent="0.25">
      <c r="B211" s="77" t="str">
        <f>IF('DETALHE GANHOS E GASTOS'!B210&lt;&gt;"",'DETALHE GANHOS E GASTOS'!B210,"")</f>
        <v/>
      </c>
      <c r="C211" s="48" t="str">
        <f>IF('DETALHE GANHOS E GASTOS'!C210&lt;&gt;"",'DETALHE GANHOS E GASTOS'!C210,"")</f>
        <v/>
      </c>
      <c r="D211" s="87" t="str">
        <f>IFERROR(INDEX('DETALHE GANHOS E GASTOS'!$C$131:$H$210,MATCH($C211,'DETALHE GANHOS E GASTOS'!$C$131:$C$210,0),4),"")</f>
        <v/>
      </c>
      <c r="E211" s="87" t="str">
        <f>IFERROR(INDEX('DETALHE GANHOS E GASTOS'!$C$131:$H$210,MATCH($C211,'DETALHE GANHOS E GASTOS'!$C$131:$C$210,0),5),"")</f>
        <v/>
      </c>
      <c r="F211" s="87" t="str">
        <f>IFERROR(INDEX('DETALHE GANHOS E GASTOS'!$C$131:$H$210,MATCH($C211,'DETALHE GANHOS E GASTOS'!$C$131:$C$210,0),6),"")</f>
        <v/>
      </c>
      <c r="G211" s="308"/>
      <c r="H211" s="61" t="str">
        <f t="shared" si="165"/>
        <v/>
      </c>
    </row>
    <row r="212" spans="1:25" ht="21" customHeight="1" x14ac:dyDescent="0.25">
      <c r="B212" s="449" t="str">
        <f>IF('DETALHE GANHOS E GASTOS'!B211&lt;&gt;"",'DETALHE GANHOS E GASTOS'!B211,"")</f>
        <v>TOTAL DOS GANHOS</v>
      </c>
      <c r="C212" s="450" t="str">
        <f>IF('DETALHE GANHOS E GASTOS'!C211&lt;&gt;"",'DETALHE GANHOS E GASTOS'!C211,"")</f>
        <v/>
      </c>
      <c r="D212" s="119">
        <f t="shared" ref="D212" si="169">D132+D144+D154+D162+D168+D180+D192+D204</f>
        <v>0</v>
      </c>
      <c r="E212" s="119">
        <f t="shared" ref="E212" si="170">E132+E144+E154+E162+E168+E180+E192+E204</f>
        <v>0</v>
      </c>
      <c r="F212" s="119">
        <f t="shared" ref="F212:G212" si="171">F132+F144+F154+F162+F168+F180+F192+F204</f>
        <v>733126.2</v>
      </c>
      <c r="G212" s="119">
        <f t="shared" si="171"/>
        <v>0</v>
      </c>
      <c r="H212" s="120">
        <f t="shared" si="165"/>
        <v>-1</v>
      </c>
    </row>
    <row r="213" spans="1:25" s="57" customFormat="1" ht="15" customHeight="1" x14ac:dyDescent="0.25">
      <c r="A213" s="3"/>
      <c r="B213" s="4"/>
      <c r="C213" s="4"/>
      <c r="D213" s="3"/>
      <c r="E213" s="3"/>
      <c r="F213" s="3"/>
      <c r="G213" s="3"/>
      <c r="I213" s="3"/>
      <c r="J213" s="144"/>
      <c r="K213" s="3"/>
      <c r="L213" s="3"/>
      <c r="M213" s="3"/>
      <c r="N213" s="3"/>
      <c r="O213" s="3"/>
      <c r="P213" s="3"/>
      <c r="Q213" s="3"/>
      <c r="R213" s="3"/>
      <c r="S213" s="3"/>
      <c r="T213" s="3"/>
      <c r="U213" s="3"/>
      <c r="V213" s="3"/>
      <c r="W213" s="3"/>
      <c r="X213" s="3"/>
      <c r="Y213" s="3"/>
    </row>
    <row r="214" spans="1:25" s="57" customFormat="1" ht="15" customHeight="1" x14ac:dyDescent="0.25">
      <c r="A214" s="3"/>
      <c r="B214" s="4"/>
      <c r="C214" s="4"/>
      <c r="D214" s="3"/>
      <c r="E214" s="3"/>
      <c r="F214" s="3"/>
      <c r="G214" s="122" t="s">
        <v>432</v>
      </c>
      <c r="H214" s="121" t="str">
        <f>IF(COVER!$K$6&lt;&gt;"",CONCATENATE("milhares ",COVER!$K$6),"")</f>
        <v>milhares MZN</v>
      </c>
      <c r="I214" s="3"/>
      <c r="J214" s="144"/>
      <c r="K214" s="3"/>
      <c r="L214" s="3"/>
      <c r="M214" s="3"/>
      <c r="N214" s="3"/>
      <c r="O214" s="3"/>
      <c r="P214" s="3"/>
      <c r="Q214" s="3"/>
      <c r="R214" s="3"/>
      <c r="S214" s="3"/>
      <c r="T214" s="3"/>
      <c r="U214" s="3"/>
      <c r="V214" s="3"/>
      <c r="W214" s="3"/>
      <c r="X214" s="3"/>
      <c r="Y214" s="3"/>
    </row>
    <row r="215" spans="1:25" s="31" customFormat="1" ht="31.5" customHeight="1" x14ac:dyDescent="0.25">
      <c r="B215" s="67"/>
      <c r="C215" s="102"/>
      <c r="D215" s="68">
        <f>IF(E215&lt;&gt;"",E215-1,"")</f>
        <v>2019</v>
      </c>
      <c r="E215" s="68">
        <f>IF(F215&lt;&gt;"",F215-1,"")</f>
        <v>2020</v>
      </c>
      <c r="F215" s="68">
        <f>IF(G215&lt;&gt;"",G215-1,"")</f>
        <v>2021</v>
      </c>
      <c r="G215" s="69">
        <f>$G$3</f>
        <v>2022</v>
      </c>
      <c r="H215" s="70" t="str">
        <f>IF(AND(F215&lt;&gt;"",G215&lt;&gt;""),CONCATENATE("Variação % (",G215,"/",F215,")"),"")</f>
        <v>Variação % (2022/2021)</v>
      </c>
      <c r="J215" s="146"/>
    </row>
    <row r="216" spans="1:25" s="31" customFormat="1" ht="15" customHeight="1" x14ac:dyDescent="0.25">
      <c r="B216" s="123"/>
      <c r="C216" s="32"/>
      <c r="D216" s="32"/>
      <c r="E216" s="32"/>
      <c r="F216" s="32"/>
      <c r="J216" s="146"/>
    </row>
    <row r="217" spans="1:25" ht="15" customHeight="1" x14ac:dyDescent="0.25">
      <c r="B217" s="441" t="str">
        <f>IF('DETALHE GANHOS E GASTOS'!B216&lt;&gt;"",'DETALHE GANHOS E GASTOS'!B216,"")</f>
        <v>GANHOS</v>
      </c>
      <c r="C217" s="442" t="str">
        <f>IF('DETALHE GANHOS E GASTOS'!C216&lt;&gt;"",'DETALHE GANHOS E GASTOS'!C216,"")</f>
        <v/>
      </c>
      <c r="D217" s="89">
        <f t="shared" ref="D217" si="172">D212</f>
        <v>0</v>
      </c>
      <c r="E217" s="89">
        <f t="shared" ref="E217" si="173">E212</f>
        <v>0</v>
      </c>
      <c r="F217" s="89">
        <f t="shared" ref="F217:G217" si="174">F212</f>
        <v>733126.2</v>
      </c>
      <c r="G217" s="112">
        <f t="shared" si="174"/>
        <v>0</v>
      </c>
      <c r="H217" s="63">
        <f t="shared" ref="H217:H219" si="175">IFERROR(IF(AND(F217&lt;0,G217&lt;=0),-(G217-F217)/F217,IF(AND(F217&lt;0,G217&gt;0),-(G217-F217)/F217,(G217-F217)/F217)),"")</f>
        <v>-1</v>
      </c>
    </row>
    <row r="218" spans="1:25" ht="15" customHeight="1" x14ac:dyDescent="0.25">
      <c r="B218" s="441" t="str">
        <f>IF('DETALHE GANHOS E GASTOS'!B217&lt;&gt;"",'DETALHE GANHOS E GASTOS'!B217,"")</f>
        <v>GASTOS</v>
      </c>
      <c r="C218" s="442" t="str">
        <f>IF('DETALHE GANHOS E GASTOS'!C217&lt;&gt;"",'DETALHE GANHOS E GASTOS'!C217,"")</f>
        <v/>
      </c>
      <c r="D218" s="89">
        <f t="shared" ref="D218" si="176">D125</f>
        <v>0</v>
      </c>
      <c r="E218" s="89">
        <f t="shared" ref="E218" si="177">E125</f>
        <v>0</v>
      </c>
      <c r="F218" s="89">
        <f t="shared" ref="F218:G218" si="178">F125</f>
        <v>7143006.0300000003</v>
      </c>
      <c r="G218" s="112">
        <f t="shared" si="178"/>
        <v>0</v>
      </c>
      <c r="H218" s="63">
        <f t="shared" si="175"/>
        <v>-1</v>
      </c>
    </row>
    <row r="219" spans="1:25" ht="15" customHeight="1" x14ac:dyDescent="0.25">
      <c r="B219" s="441" t="str">
        <f>IF('DETALHE GANHOS E GASTOS'!B218&lt;&gt;"",'DETALHE GANHOS E GASTOS'!B218,"")</f>
        <v>RESULTADO ANTES DE IMPOSTOS</v>
      </c>
      <c r="C219" s="442" t="str">
        <f>IF('DETALHE GANHOS E GASTOS'!C218&lt;&gt;"",'DETALHE GANHOS E GASTOS'!C218,"")</f>
        <v/>
      </c>
      <c r="D219" s="89">
        <f t="shared" ref="D219" si="179">D217+D218</f>
        <v>0</v>
      </c>
      <c r="E219" s="89">
        <f t="shared" ref="E219" si="180">E217+E218</f>
        <v>0</v>
      </c>
      <c r="F219" s="89">
        <f t="shared" ref="F219:G219" si="181">F217+F218</f>
        <v>7876132.2300000004</v>
      </c>
      <c r="G219" s="112">
        <f t="shared" si="181"/>
        <v>0</v>
      </c>
      <c r="H219" s="63">
        <f t="shared" si="175"/>
        <v>-1</v>
      </c>
    </row>
    <row r="220" spans="1:25" s="57" customFormat="1" ht="15" customHeight="1" x14ac:dyDescent="0.25">
      <c r="A220" s="3"/>
      <c r="B220" s="443" t="str">
        <f>IF('DETALHE GANHOS E GASTOS'!B221&lt;&gt;"",'DETALHE GANHOS E GASTOS'!B221,"")</f>
        <v>check RAI</v>
      </c>
      <c r="C220" s="444" t="str">
        <f>IF('DETALHE GANHOS E GASTOS'!C221&lt;&gt;"",'DETALHE GANHOS E GASTOS'!C221,"")</f>
        <v/>
      </c>
      <c r="D220" s="94">
        <f>D219-'INFORMAÇÃO FINANCEIRA'!D87</f>
        <v>0</v>
      </c>
      <c r="E220" s="94">
        <f>E219-'INFORMAÇÃO FINANCEIRA'!E87</f>
        <v>0</v>
      </c>
      <c r="F220" s="94">
        <f>F219-'INFORMAÇÃO FINANCEIRA'!F87</f>
        <v>7876132.2300000004</v>
      </c>
      <c r="G220" s="94">
        <f>G219-'INFORMAÇÃO FINANCEIRA'!G87</f>
        <v>6409879.8300000001</v>
      </c>
      <c r="H220" s="136"/>
      <c r="I220" s="3"/>
      <c r="J220" s="144"/>
      <c r="K220" s="3"/>
      <c r="L220" s="3"/>
      <c r="M220" s="3"/>
      <c r="N220" s="3"/>
      <c r="O220" s="3"/>
      <c r="P220" s="3"/>
      <c r="Q220" s="3"/>
      <c r="R220" s="3"/>
      <c r="S220" s="3"/>
      <c r="T220" s="3"/>
      <c r="U220" s="3"/>
      <c r="V220" s="3"/>
      <c r="W220" s="3"/>
      <c r="X220" s="3"/>
      <c r="Y220" s="3"/>
    </row>
    <row r="221" spans="1:25" s="57" customFormat="1" ht="15" customHeight="1" x14ac:dyDescent="0.25">
      <c r="A221" s="3"/>
      <c r="B221" s="4"/>
      <c r="C221" s="4"/>
      <c r="D221" s="3"/>
      <c r="E221" s="3"/>
      <c r="F221" s="3"/>
      <c r="G221" s="3"/>
      <c r="I221" s="3"/>
      <c r="J221" s="144"/>
      <c r="K221" s="3"/>
      <c r="L221" s="3"/>
      <c r="M221" s="3"/>
      <c r="N221" s="3"/>
      <c r="O221" s="3"/>
      <c r="P221" s="3"/>
      <c r="Q221" s="3"/>
      <c r="R221" s="3"/>
      <c r="S221" s="3"/>
      <c r="T221" s="3"/>
      <c r="U221" s="3"/>
      <c r="V221" s="3"/>
      <c r="W221" s="3"/>
      <c r="X221" s="3"/>
      <c r="Y221" s="3"/>
    </row>
    <row r="222" spans="1:25" s="57" customFormat="1" ht="15" customHeight="1" x14ac:dyDescent="0.25">
      <c r="A222" s="3"/>
      <c r="B222" s="4"/>
      <c r="C222" s="4"/>
      <c r="D222" s="3"/>
      <c r="E222" s="3"/>
      <c r="F222" s="3"/>
      <c r="G222" s="3"/>
      <c r="I222" s="3"/>
      <c r="J222" s="144"/>
      <c r="K222" s="3"/>
      <c r="L222" s="3"/>
      <c r="M222" s="3"/>
      <c r="N222" s="3"/>
      <c r="O222" s="3"/>
      <c r="P222" s="3"/>
      <c r="Q222" s="3"/>
      <c r="R222" s="3"/>
      <c r="S222" s="3"/>
      <c r="T222" s="3"/>
      <c r="U222" s="3"/>
      <c r="V222" s="3"/>
      <c r="W222" s="3"/>
      <c r="X222" s="3"/>
      <c r="Y222" s="3"/>
    </row>
    <row r="223" spans="1:25" s="57" customFormat="1" ht="15" customHeight="1" x14ac:dyDescent="0.25">
      <c r="A223" s="3"/>
      <c r="B223" s="4"/>
      <c r="C223" s="4"/>
      <c r="D223" s="3"/>
      <c r="E223" s="3"/>
      <c r="F223" s="3"/>
      <c r="G223" s="3"/>
      <c r="I223" s="3"/>
      <c r="J223" s="144"/>
      <c r="K223" s="3"/>
      <c r="L223" s="3"/>
      <c r="M223" s="3"/>
      <c r="N223" s="3"/>
      <c r="O223" s="3"/>
      <c r="P223" s="3"/>
      <c r="Q223" s="3"/>
      <c r="R223" s="3"/>
      <c r="S223" s="3"/>
      <c r="T223" s="3"/>
      <c r="U223" s="3"/>
      <c r="V223" s="3"/>
      <c r="W223" s="3"/>
      <c r="X223" s="3"/>
      <c r="Y223" s="3"/>
    </row>
    <row r="224" spans="1:25" s="57" customFormat="1" ht="15" customHeight="1" x14ac:dyDescent="0.25">
      <c r="A224" s="3"/>
      <c r="B224" s="4"/>
      <c r="C224" s="4"/>
      <c r="D224" s="3"/>
      <c r="E224" s="3"/>
      <c r="F224" s="3"/>
      <c r="G224" s="3"/>
      <c r="I224" s="3"/>
      <c r="J224" s="144"/>
      <c r="K224" s="3"/>
      <c r="L224" s="3"/>
      <c r="M224" s="3"/>
      <c r="N224" s="3"/>
      <c r="O224" s="3"/>
      <c r="P224" s="3"/>
      <c r="Q224" s="3"/>
      <c r="R224" s="3"/>
      <c r="S224" s="3"/>
      <c r="T224" s="3"/>
      <c r="U224" s="3"/>
      <c r="V224" s="3"/>
      <c r="W224" s="3"/>
      <c r="X224" s="3"/>
      <c r="Y224" s="3"/>
    </row>
  </sheetData>
  <sheetProtection algorithmName="SHA-512" hashValue="0gqaWowcRbmGIeiBI4mKns03HvPPU7WlVfPA8ynmELhNpMq9eEs1aqjkO/RQxeP7BHVAFeAFhvD2hNlFscPlRg==" saltValue="cIGZ06ytbdqh5V26ne05ag==" spinCount="100000" sheet="1" objects="1" scenarios="1" sort="0" autoFilter="0"/>
  <mergeCells count="13">
    <mergeCell ref="B220:C220"/>
    <mergeCell ref="B1:C1"/>
    <mergeCell ref="B5:C5"/>
    <mergeCell ref="D5:F5"/>
    <mergeCell ref="B8:H8"/>
    <mergeCell ref="B13:H13"/>
    <mergeCell ref="B125:C125"/>
    <mergeCell ref="H10:H11"/>
    <mergeCell ref="B130:H130"/>
    <mergeCell ref="B212:C212"/>
    <mergeCell ref="B217:C217"/>
    <mergeCell ref="B218:C218"/>
    <mergeCell ref="B219:C219"/>
  </mergeCells>
  <conditionalFormatting sqref="F220:G220">
    <cfRule type="expression" dxfId="14" priority="4">
      <formula>F220&lt;&gt;0</formula>
    </cfRule>
  </conditionalFormatting>
  <conditionalFormatting sqref="D220">
    <cfRule type="expression" dxfId="13" priority="1">
      <formula>D220&lt;&gt;0</formula>
    </cfRule>
  </conditionalFormatting>
  <conditionalFormatting sqref="E220">
    <cfRule type="expression" dxfId="12" priority="2">
      <formula>E220&lt;&gt;0</formula>
    </cfRule>
  </conditionalFormatting>
  <hyperlinks>
    <hyperlink ref="B1" location="COVER!A1" display="BACK TO INDEX" xr:uid="{00000000-0004-0000-1800-000000000000}"/>
    <hyperlink ref="B1:C1" location="ÍNDICE!A1" display="BACK TO INDEX" xr:uid="{00000000-0004-0000-1800-000001000000}"/>
  </hyperlinks>
  <pageMargins left="0.7" right="0.7" top="0.75" bottom="0.75" header="0.3" footer="0.3"/>
  <pageSetup scale="53" orientation="portrait" r:id="rId1"/>
  <colBreaks count="1" manualBreakCount="1">
    <brk id="10" min="1" max="225"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G62"/>
  <sheetViews>
    <sheetView showGridLines="0" zoomScaleNormal="100" workbookViewId="0">
      <pane ySplit="1" topLeftCell="A2" activePane="bottomLeft" state="frozen"/>
      <selection activeCell="B1" sqref="B1:C1"/>
      <selection pane="bottomLeft" activeCell="F61" sqref="F61"/>
    </sheetView>
  </sheetViews>
  <sheetFormatPr defaultColWidth="0" defaultRowHeight="15" customHeight="1" zeroHeight="1" x14ac:dyDescent="0.25"/>
  <cols>
    <col min="1" max="1" width="1.140625" style="3" customWidth="1"/>
    <col min="2" max="2" width="14.7109375" style="4" hidden="1" customWidth="1"/>
    <col min="3" max="3" width="55.42578125" style="4" bestFit="1" customWidth="1"/>
    <col min="4" max="5" width="18.85546875" style="3" customWidth="1"/>
    <col min="6" max="6" width="12.140625" style="57" customWidth="1"/>
    <col min="7" max="7" width="1" style="3" customWidth="1"/>
    <col min="8" max="16384" width="4.42578125" style="3" hidden="1"/>
  </cols>
  <sheetData>
    <row r="1" spans="1:7" ht="21" customHeight="1" x14ac:dyDescent="0.2">
      <c r="A1" s="2"/>
      <c r="C1" s="167" t="s">
        <v>29</v>
      </c>
      <c r="D1" s="2"/>
      <c r="E1" s="2"/>
      <c r="F1" s="56"/>
      <c r="G1" s="56"/>
    </row>
    <row r="2" spans="1:7" ht="15" customHeight="1" x14ac:dyDescent="0.2"/>
    <row r="3" spans="1:7" ht="15" customHeight="1" x14ac:dyDescent="0.25">
      <c r="D3" s="169" t="s">
        <v>525</v>
      </c>
      <c r="E3" s="186">
        <f>IF(COVER!E6&lt;&gt;"",COVER!E6+1,"")</f>
        <v>2022</v>
      </c>
    </row>
    <row r="4" spans="1:7" ht="15" customHeight="1" x14ac:dyDescent="0.2"/>
    <row r="5" spans="1:7" ht="20.25" customHeight="1" x14ac:dyDescent="0.2">
      <c r="C5" s="5" t="s">
        <v>4</v>
      </c>
      <c r="D5" s="520"/>
      <c r="E5" s="521"/>
      <c r="F5" s="522"/>
    </row>
    <row r="6" spans="1:7" ht="15" customHeight="1" x14ac:dyDescent="0.2"/>
    <row r="7" spans="1:7" ht="15" customHeight="1" x14ac:dyDescent="0.2"/>
    <row r="8" spans="1:7" s="6" customFormat="1" ht="30.75" customHeight="1" x14ac:dyDescent="0.2">
      <c r="C8" s="376" t="str">
        <f>CONCATENATE("PRINCIPAIS VARIAÇÕES PARA O ORÇAMENTO DE ",E10," FACE A ",D10)</f>
        <v>PRINCIPAIS VARIAÇÕES PARA O ORÇAMENTO DE 2022 FACE A 2021</v>
      </c>
      <c r="D8" s="377"/>
      <c r="E8" s="377"/>
      <c r="F8" s="377"/>
    </row>
    <row r="9" spans="1:7" ht="15" customHeight="1" x14ac:dyDescent="0.2">
      <c r="E9" s="122" t="s">
        <v>432</v>
      </c>
      <c r="F9" s="121" t="str">
        <f>IF(COVER!$K$6&lt;&gt;"",CONCATENATE("milhares ",COVER!$K$6),"")</f>
        <v>milhares MZN</v>
      </c>
    </row>
    <row r="10" spans="1:7" s="31" customFormat="1" ht="31.5" customHeight="1" x14ac:dyDescent="0.25">
      <c r="B10" s="67"/>
      <c r="C10" s="102"/>
      <c r="D10" s="68">
        <f>IF(E10&lt;&gt;"",E10-1,"")</f>
        <v>2021</v>
      </c>
      <c r="E10" s="69">
        <f>$E$3</f>
        <v>2022</v>
      </c>
      <c r="F10" s="70" t="s">
        <v>567</v>
      </c>
    </row>
    <row r="11" spans="1:7" ht="15" customHeight="1" x14ac:dyDescent="0.2">
      <c r="B11" s="71"/>
    </row>
    <row r="12" spans="1:7" ht="15" customHeight="1" x14ac:dyDescent="0.2">
      <c r="B12" s="73"/>
      <c r="C12" s="53"/>
      <c r="D12" s="89"/>
      <c r="E12" s="112"/>
      <c r="F12" s="63" t="str">
        <f>IFERROR(IF(AND(D12&lt;0,E12&lt;=0),-(E12-D12)/D12,IF(AND(D12&lt;0,E12&gt;0),-(E12-D12)/D12,(E12-D12)/D12)),"")</f>
        <v/>
      </c>
    </row>
    <row r="13" spans="1:7" ht="15" customHeight="1" x14ac:dyDescent="0.2">
      <c r="B13" s="77" t="s">
        <v>439</v>
      </c>
      <c r="C13" s="48" t="str">
        <f>IFERROR(IF(INDEX('PLANO ORÇAMENTAL'!$C$15:$C$124,MATCH($B13,'PLANO ORÇAMENTAL'!$Z$15:$Z$124,0))=0,"",INDEX('PLANO ORÇAMENTAL'!$C$15:$C$124,MATCH($B13,'PLANO ORÇAMENTAL'!$Z$15:$Z$124,0))),"")</f>
        <v/>
      </c>
      <c r="D13" s="87" t="str">
        <f>IF($C13="","",INDEX('PLANO ORÇAMENTAL'!$C$15:$G$124,MATCH($C13,'PLANO ORÇAMENTAL'!$C$15:$C$124,0),4))</f>
        <v/>
      </c>
      <c r="E13" s="115" t="str">
        <f>IF($C13="","",INDEX('PLANO ORÇAMENTAL'!$C$15:$G$124,MATCH($C13,'PLANO ORÇAMENTAL'!$C$15:$C$124,0),5))</f>
        <v/>
      </c>
      <c r="F13" s="61" t="str">
        <f t="shared" ref="F13:F27" si="0">IFERROR(IF(AND(D13&lt;0,E13&lt;=0),-(E13-D13)/D13,IF(AND(D13&lt;0,E13&gt;0),-(E13-D13)/D13,(E13-D13)/D13)),"")</f>
        <v/>
      </c>
    </row>
    <row r="14" spans="1:7" ht="15" customHeight="1" x14ac:dyDescent="0.2">
      <c r="B14" s="77" t="s">
        <v>440</v>
      </c>
      <c r="C14" s="48" t="str">
        <f>IFERROR(IF(INDEX('PLANO ORÇAMENTAL'!$C$15:$C$124,MATCH($B14,'PLANO ORÇAMENTAL'!$Z$15:$Z$124,0))=0,"",INDEX('PLANO ORÇAMENTAL'!$C$15:$C$124,MATCH($B14,'PLANO ORÇAMENTAL'!$Z$15:$Z$124,0))),"")</f>
        <v/>
      </c>
      <c r="D14" s="87" t="str">
        <f>IF($C14="","",INDEX('PLANO ORÇAMENTAL'!$C$15:$G$124,MATCH($C14,'PLANO ORÇAMENTAL'!$C$15:$C$124,0),4))</f>
        <v/>
      </c>
      <c r="E14" s="115" t="str">
        <f>IF($C14="","",INDEX('PLANO ORÇAMENTAL'!$C$15:$G$124,MATCH($C14,'PLANO ORÇAMENTAL'!$C$15:$C$124,0),5))</f>
        <v/>
      </c>
      <c r="F14" s="61" t="str">
        <f t="shared" si="0"/>
        <v/>
      </c>
    </row>
    <row r="15" spans="1:7" ht="15" customHeight="1" x14ac:dyDescent="0.2">
      <c r="B15" s="77" t="s">
        <v>441</v>
      </c>
      <c r="C15" s="48" t="str">
        <f>IFERROR(IF(INDEX('PLANO ORÇAMENTAL'!$C$15:$C$124,MATCH($B15,'PLANO ORÇAMENTAL'!$Z$15:$Z$124,0))=0,"",INDEX('PLANO ORÇAMENTAL'!$C$15:$C$124,MATCH($B15,'PLANO ORÇAMENTAL'!$Z$15:$Z$124,0))),"")</f>
        <v/>
      </c>
      <c r="D15" s="87" t="str">
        <f>IF($C15="","",INDEX('PLANO ORÇAMENTAL'!$C$15:$G$124,MATCH($C15,'PLANO ORÇAMENTAL'!$C$15:$C$124,0),4))</f>
        <v/>
      </c>
      <c r="E15" s="115" t="str">
        <f>IF($C15="","",INDEX('PLANO ORÇAMENTAL'!$C$15:$G$124,MATCH($C15,'PLANO ORÇAMENTAL'!$C$15:$C$124,0),5))</f>
        <v/>
      </c>
      <c r="F15" s="61" t="str">
        <f t="shared" si="0"/>
        <v/>
      </c>
    </row>
    <row r="16" spans="1:7" ht="15" customHeight="1" x14ac:dyDescent="0.2">
      <c r="B16" s="77" t="s">
        <v>442</v>
      </c>
      <c r="C16" s="48" t="str">
        <f>IFERROR(IF(INDEX('PLANO ORÇAMENTAL'!$C$15:$C$124,MATCH($B16,'PLANO ORÇAMENTAL'!$Z$15:$Z$124,0))=0,"",INDEX('PLANO ORÇAMENTAL'!$C$15:$C$124,MATCH($B16,'PLANO ORÇAMENTAL'!$Z$15:$Z$124,0))),"")</f>
        <v/>
      </c>
      <c r="D16" s="87" t="str">
        <f>IF($C16="","",INDEX('PLANO ORÇAMENTAL'!$C$15:$G$124,MATCH($C16,'PLANO ORÇAMENTAL'!$C$15:$C$124,0),4))</f>
        <v/>
      </c>
      <c r="E16" s="115" t="str">
        <f>IF($C16="","",INDEX('PLANO ORÇAMENTAL'!$C$15:$G$124,MATCH($C16,'PLANO ORÇAMENTAL'!$C$15:$C$124,0),5))</f>
        <v/>
      </c>
      <c r="F16" s="61" t="str">
        <f t="shared" si="0"/>
        <v/>
      </c>
    </row>
    <row r="17" spans="2:6" ht="15" customHeight="1" x14ac:dyDescent="0.2">
      <c r="B17" s="77" t="s">
        <v>443</v>
      </c>
      <c r="C17" s="48" t="str">
        <f>IFERROR(IF(INDEX('PLANO ORÇAMENTAL'!$C$15:$C$124,MATCH($B17,'PLANO ORÇAMENTAL'!$Z$15:$Z$124,0))=0,"",INDEX('PLANO ORÇAMENTAL'!$C$15:$C$124,MATCH($B17,'PLANO ORÇAMENTAL'!$Z$15:$Z$124,0))),"")</f>
        <v/>
      </c>
      <c r="D17" s="87" t="str">
        <f>IF($C17="","",INDEX('PLANO ORÇAMENTAL'!$C$15:$G$124,MATCH($C17,'PLANO ORÇAMENTAL'!$C$15:$C$124,0),4))</f>
        <v/>
      </c>
      <c r="E17" s="115" t="str">
        <f>IF($C17="","",INDEX('PLANO ORÇAMENTAL'!$C$15:$G$124,MATCH($C17,'PLANO ORÇAMENTAL'!$C$15:$C$124,0),5))</f>
        <v/>
      </c>
      <c r="F17" s="61" t="str">
        <f t="shared" si="0"/>
        <v/>
      </c>
    </row>
    <row r="18" spans="2:6" ht="15" customHeight="1" x14ac:dyDescent="0.2">
      <c r="B18" s="77" t="s">
        <v>444</v>
      </c>
      <c r="C18" s="48" t="str">
        <f>IFERROR(IF(INDEX('PLANO ORÇAMENTAL'!$C$15:$C$124,MATCH($B18,'PLANO ORÇAMENTAL'!$Z$15:$Z$124,0))=0,"",INDEX('PLANO ORÇAMENTAL'!$C$15:$C$124,MATCH($B18,'PLANO ORÇAMENTAL'!$Z$15:$Z$124,0))),"")</f>
        <v/>
      </c>
      <c r="D18" s="87" t="str">
        <f>IF($C18="","",INDEX('PLANO ORÇAMENTAL'!$C$15:$G$124,MATCH($C18,'PLANO ORÇAMENTAL'!$C$15:$C$124,0),4))</f>
        <v/>
      </c>
      <c r="E18" s="115" t="str">
        <f>IF($C18="","",INDEX('PLANO ORÇAMENTAL'!$C$15:$G$124,MATCH($C18,'PLANO ORÇAMENTAL'!$C$15:$C$124,0),5))</f>
        <v/>
      </c>
      <c r="F18" s="61" t="str">
        <f t="shared" si="0"/>
        <v/>
      </c>
    </row>
    <row r="19" spans="2:6" ht="15" customHeight="1" x14ac:dyDescent="0.2">
      <c r="B19" s="77" t="s">
        <v>445</v>
      </c>
      <c r="C19" s="48" t="str">
        <f>IFERROR(IF(INDEX('PLANO ORÇAMENTAL'!$C$15:$C$124,MATCH($B19,'PLANO ORÇAMENTAL'!$Z$15:$Z$124,0))=0,"",INDEX('PLANO ORÇAMENTAL'!$C$15:$C$124,MATCH($B19,'PLANO ORÇAMENTAL'!$Z$15:$Z$124,0))),"")</f>
        <v/>
      </c>
      <c r="D19" s="87" t="str">
        <f>IF($C19="","",INDEX('PLANO ORÇAMENTAL'!$C$15:$G$124,MATCH($C19,'PLANO ORÇAMENTAL'!$C$15:$C$124,0),4))</f>
        <v/>
      </c>
      <c r="E19" s="115" t="str">
        <f>IF($C19="","",INDEX('PLANO ORÇAMENTAL'!$C$15:$G$124,MATCH($C19,'PLANO ORÇAMENTAL'!$C$15:$C$124,0),5))</f>
        <v/>
      </c>
      <c r="F19" s="61" t="str">
        <f t="shared" si="0"/>
        <v/>
      </c>
    </row>
    <row r="20" spans="2:6" ht="15" customHeight="1" x14ac:dyDescent="0.2">
      <c r="B20" s="77" t="s">
        <v>446</v>
      </c>
      <c r="C20" s="48" t="str">
        <f>IFERROR(IF(INDEX('PLANO ORÇAMENTAL'!$C$15:$C$124,MATCH($B20,'PLANO ORÇAMENTAL'!$Z$15:$Z$124,0))=0,"",INDEX('PLANO ORÇAMENTAL'!$C$15:$C$124,MATCH($B20,'PLANO ORÇAMENTAL'!$Z$15:$Z$124,0))),"")</f>
        <v/>
      </c>
      <c r="D20" s="87" t="str">
        <f>IF($C20="","",INDEX('PLANO ORÇAMENTAL'!$C$15:$G$124,MATCH($C20,'PLANO ORÇAMENTAL'!$C$15:$C$124,0),4))</f>
        <v/>
      </c>
      <c r="E20" s="115" t="str">
        <f>IF($C20="","",INDEX('PLANO ORÇAMENTAL'!$C$15:$G$124,MATCH($C20,'PLANO ORÇAMENTAL'!$C$15:$C$124,0),5))</f>
        <v/>
      </c>
      <c r="F20" s="61" t="str">
        <f t="shared" si="0"/>
        <v/>
      </c>
    </row>
    <row r="21" spans="2:6" ht="15" customHeight="1" x14ac:dyDescent="0.2">
      <c r="B21" s="77" t="s">
        <v>447</v>
      </c>
      <c r="C21" s="48" t="str">
        <f>IFERROR(IF(INDEX('PLANO ORÇAMENTAL'!$C$15:$C$124,MATCH($B21,'PLANO ORÇAMENTAL'!$Z$15:$Z$124,0))=0,"",INDEX('PLANO ORÇAMENTAL'!$C$15:$C$124,MATCH($B21,'PLANO ORÇAMENTAL'!$Z$15:$Z$124,0))),"")</f>
        <v/>
      </c>
      <c r="D21" s="87" t="str">
        <f>IF($C21="","",INDEX('PLANO ORÇAMENTAL'!$C$15:$G$124,MATCH($C21,'PLANO ORÇAMENTAL'!$C$15:$C$124,0),4))</f>
        <v/>
      </c>
      <c r="E21" s="115" t="str">
        <f>IF($C21="","",INDEX('PLANO ORÇAMENTAL'!$C$15:$G$124,MATCH($C21,'PLANO ORÇAMENTAL'!$C$15:$C$124,0),5))</f>
        <v/>
      </c>
      <c r="F21" s="61" t="str">
        <f t="shared" si="0"/>
        <v/>
      </c>
    </row>
    <row r="22" spans="2:6" ht="15" customHeight="1" x14ac:dyDescent="0.2">
      <c r="B22" s="77" t="s">
        <v>448</v>
      </c>
      <c r="C22" s="48" t="str">
        <f>IFERROR(IF(INDEX('PLANO ORÇAMENTAL'!$C$15:$C$124,MATCH($B22,'PLANO ORÇAMENTAL'!$Z$15:$Z$124,0))=0,"",INDEX('PLANO ORÇAMENTAL'!$C$15:$C$124,MATCH($B22,'PLANO ORÇAMENTAL'!$Z$15:$Z$124,0))),"")</f>
        <v/>
      </c>
      <c r="D22" s="87" t="str">
        <f>IF($C22="","",INDEX('PLANO ORÇAMENTAL'!$C$15:$G$124,MATCH($C22,'PLANO ORÇAMENTAL'!$C$15:$C$124,0),4))</f>
        <v/>
      </c>
      <c r="E22" s="115" t="str">
        <f>IF($C22="","",INDEX('PLANO ORÇAMENTAL'!$C$15:$G$124,MATCH($C22,'PLANO ORÇAMENTAL'!$C$15:$C$124,0),5))</f>
        <v/>
      </c>
      <c r="F22" s="61" t="str">
        <f t="shared" si="0"/>
        <v/>
      </c>
    </row>
    <row r="23" spans="2:6" ht="15" customHeight="1" x14ac:dyDescent="0.2">
      <c r="B23" s="77" t="s">
        <v>449</v>
      </c>
      <c r="C23" s="48" t="str">
        <f>IFERROR(IF(INDEX('PLANO ORÇAMENTAL'!$C$15:$C$124,MATCH($B23,'PLANO ORÇAMENTAL'!$Z$15:$Z$124,0))=0,"",INDEX('PLANO ORÇAMENTAL'!$C$15:$C$124,MATCH($B23,'PLANO ORÇAMENTAL'!$Z$15:$Z$124,0))),"")</f>
        <v/>
      </c>
      <c r="D23" s="87" t="str">
        <f>IF($C23="","",INDEX('PLANO ORÇAMENTAL'!$C$15:$G$124,MATCH($C23,'PLANO ORÇAMENTAL'!$C$15:$C$124,0),4))</f>
        <v/>
      </c>
      <c r="E23" s="115" t="str">
        <f>IF($C23="","",INDEX('PLANO ORÇAMENTAL'!$C$15:$G$124,MATCH($C23,'PLANO ORÇAMENTAL'!$C$15:$C$124,0),5))</f>
        <v/>
      </c>
      <c r="F23" s="61" t="str">
        <f t="shared" si="0"/>
        <v/>
      </c>
    </row>
    <row r="24" spans="2:6" ht="15" customHeight="1" x14ac:dyDescent="0.2">
      <c r="B24" s="77" t="s">
        <v>450</v>
      </c>
      <c r="C24" s="48" t="str">
        <f>IFERROR(IF(INDEX('PLANO ORÇAMENTAL'!$C$15:$C$124,MATCH($B24,'PLANO ORÇAMENTAL'!$Z$15:$Z$124,0))=0,"",INDEX('PLANO ORÇAMENTAL'!$C$15:$C$124,MATCH($B24,'PLANO ORÇAMENTAL'!$Z$15:$Z$124,0))),"")</f>
        <v/>
      </c>
      <c r="D24" s="87" t="str">
        <f>IF($C24="","",INDEX('PLANO ORÇAMENTAL'!$C$15:$G$124,MATCH($C24,'PLANO ORÇAMENTAL'!$C$15:$C$124,0),4))</f>
        <v/>
      </c>
      <c r="E24" s="115" t="str">
        <f>IF($C24="","",INDEX('PLANO ORÇAMENTAL'!$C$15:$G$124,MATCH($C24,'PLANO ORÇAMENTAL'!$C$15:$C$124,0),5))</f>
        <v/>
      </c>
      <c r="F24" s="61" t="str">
        <f t="shared" si="0"/>
        <v/>
      </c>
    </row>
    <row r="25" spans="2:6" ht="15" customHeight="1" x14ac:dyDescent="0.2">
      <c r="B25" s="77" t="s">
        <v>454</v>
      </c>
      <c r="C25" s="48" t="str">
        <f>IFERROR(IF(INDEX('PLANO ORÇAMENTAL'!$C$15:$C$124,MATCH($B25,'PLANO ORÇAMENTAL'!$Z$15:$Z$124,0))=0,"",INDEX('PLANO ORÇAMENTAL'!$C$15:$C$124,MATCH($B25,'PLANO ORÇAMENTAL'!$Z$15:$Z$124,0))),"")</f>
        <v/>
      </c>
      <c r="D25" s="87" t="str">
        <f>IF($C25="","",INDEX('PLANO ORÇAMENTAL'!$C$15:$G$124,MATCH($C25,'PLANO ORÇAMENTAL'!$C$15:$C$124,0),4))</f>
        <v/>
      </c>
      <c r="E25" s="115" t="str">
        <f>IF($C25="","",INDEX('PLANO ORÇAMENTAL'!$C$15:$G$124,MATCH($C25,'PLANO ORÇAMENTAL'!$C$15:$C$124,0),5))</f>
        <v/>
      </c>
      <c r="F25" s="61" t="str">
        <f t="shared" si="0"/>
        <v/>
      </c>
    </row>
    <row r="26" spans="2:6" ht="15" customHeight="1" x14ac:dyDescent="0.2">
      <c r="B26" s="77" t="s">
        <v>455</v>
      </c>
      <c r="C26" s="48" t="str">
        <f>IFERROR(IF(INDEX('PLANO ORÇAMENTAL'!$C$15:$C$124,MATCH($B26,'PLANO ORÇAMENTAL'!$Z$15:$Z$124,0))=0,"",INDEX('PLANO ORÇAMENTAL'!$C$15:$C$124,MATCH($B26,'PLANO ORÇAMENTAL'!$Z$15:$Z$124,0))),"")</f>
        <v/>
      </c>
      <c r="D26" s="87" t="str">
        <f>IF($C26="","",INDEX('PLANO ORÇAMENTAL'!$C$15:$G$124,MATCH($C26,'PLANO ORÇAMENTAL'!$C$15:$C$124,0),4))</f>
        <v/>
      </c>
      <c r="E26" s="115" t="str">
        <f>IF($C26="","",INDEX('PLANO ORÇAMENTAL'!$C$15:$G$124,MATCH($C26,'PLANO ORÇAMENTAL'!$C$15:$C$124,0),5))</f>
        <v/>
      </c>
      <c r="F26" s="61" t="str">
        <f t="shared" si="0"/>
        <v/>
      </c>
    </row>
    <row r="27" spans="2:6" ht="15" customHeight="1" x14ac:dyDescent="0.2">
      <c r="B27" s="147" t="s">
        <v>456</v>
      </c>
      <c r="C27" s="148" t="str">
        <f>IFERROR(IF(INDEX('PLANO ORÇAMENTAL'!$C$15:$C$124,MATCH($B27,'PLANO ORÇAMENTAL'!$Z$15:$Z$124,0))=0,"",INDEX('PLANO ORÇAMENTAL'!$C$15:$C$124,MATCH($B27,'PLANO ORÇAMENTAL'!$Z$15:$Z$124,0))),"")</f>
        <v/>
      </c>
      <c r="D27" s="149" t="str">
        <f>IF($C27="","",INDEX('PLANO ORÇAMENTAL'!$C$15:$G$124,MATCH($C27,'PLANO ORÇAMENTAL'!$C$15:$C$124,0),4))</f>
        <v/>
      </c>
      <c r="E27" s="150" t="str">
        <f>IF($C27="","",INDEX('PLANO ORÇAMENTAL'!$C$15:$G$124,MATCH($C27,'PLANO ORÇAMENTAL'!$C$15:$C$124,0),5))</f>
        <v/>
      </c>
      <c r="F27" s="151" t="str">
        <f t="shared" si="0"/>
        <v/>
      </c>
    </row>
    <row r="28" spans="2:6" ht="15" customHeight="1" x14ac:dyDescent="0.2"/>
    <row r="29" spans="2:6" ht="15" customHeight="1" x14ac:dyDescent="0.25">
      <c r="C29" s="4" t="s">
        <v>568</v>
      </c>
    </row>
    <row r="30" spans="2:6" ht="18" customHeight="1" x14ac:dyDescent="0.2">
      <c r="C30" s="523"/>
      <c r="D30" s="524"/>
      <c r="E30" s="524"/>
      <c r="F30" s="525"/>
    </row>
    <row r="31" spans="2:6" ht="18" customHeight="1" x14ac:dyDescent="0.2">
      <c r="C31" s="514"/>
      <c r="D31" s="515"/>
      <c r="E31" s="515"/>
      <c r="F31" s="516"/>
    </row>
    <row r="32" spans="2:6" ht="18" customHeight="1" x14ac:dyDescent="0.2">
      <c r="C32" s="514"/>
      <c r="D32" s="515"/>
      <c r="E32" s="515"/>
      <c r="F32" s="516"/>
    </row>
    <row r="33" spans="3:6" ht="18" customHeight="1" x14ac:dyDescent="0.2">
      <c r="C33" s="514"/>
      <c r="D33" s="515"/>
      <c r="E33" s="515"/>
      <c r="F33" s="516"/>
    </row>
    <row r="34" spans="3:6" ht="18" customHeight="1" x14ac:dyDescent="0.2">
      <c r="C34" s="514"/>
      <c r="D34" s="515"/>
      <c r="E34" s="515"/>
      <c r="F34" s="516"/>
    </row>
    <row r="35" spans="3:6" ht="18" customHeight="1" x14ac:dyDescent="0.2">
      <c r="C35" s="514"/>
      <c r="D35" s="515"/>
      <c r="E35" s="515"/>
      <c r="F35" s="516"/>
    </row>
    <row r="36" spans="3:6" ht="18" customHeight="1" x14ac:dyDescent="0.2">
      <c r="C36" s="514"/>
      <c r="D36" s="515"/>
      <c r="E36" s="515"/>
      <c r="F36" s="516"/>
    </row>
    <row r="37" spans="3:6" ht="18" customHeight="1" x14ac:dyDescent="0.2">
      <c r="C37" s="514"/>
      <c r="D37" s="515"/>
      <c r="E37" s="515"/>
      <c r="F37" s="516"/>
    </row>
    <row r="38" spans="3:6" ht="18" customHeight="1" x14ac:dyDescent="0.2">
      <c r="C38" s="514"/>
      <c r="D38" s="515"/>
      <c r="E38" s="515"/>
      <c r="F38" s="516"/>
    </row>
    <row r="39" spans="3:6" ht="18" customHeight="1" x14ac:dyDescent="0.2">
      <c r="C39" s="514"/>
      <c r="D39" s="515"/>
      <c r="E39" s="515"/>
      <c r="F39" s="516"/>
    </row>
    <row r="40" spans="3:6" ht="18" customHeight="1" x14ac:dyDescent="0.2">
      <c r="C40" s="514"/>
      <c r="D40" s="515"/>
      <c r="E40" s="515"/>
      <c r="F40" s="516"/>
    </row>
    <row r="41" spans="3:6" ht="18" customHeight="1" x14ac:dyDescent="0.2">
      <c r="C41" s="514"/>
      <c r="D41" s="515"/>
      <c r="E41" s="515"/>
      <c r="F41" s="516"/>
    </row>
    <row r="42" spans="3:6" ht="18" customHeight="1" x14ac:dyDescent="0.2">
      <c r="C42" s="514"/>
      <c r="D42" s="515"/>
      <c r="E42" s="515"/>
      <c r="F42" s="516"/>
    </row>
    <row r="43" spans="3:6" ht="18" customHeight="1" x14ac:dyDescent="0.25">
      <c r="C43" s="514"/>
      <c r="D43" s="515"/>
      <c r="E43" s="515"/>
      <c r="F43" s="516"/>
    </row>
    <row r="44" spans="3:6" ht="18" customHeight="1" x14ac:dyDescent="0.25">
      <c r="C44" s="514"/>
      <c r="D44" s="515"/>
      <c r="E44" s="515"/>
      <c r="F44" s="516"/>
    </row>
    <row r="45" spans="3:6" ht="18" customHeight="1" x14ac:dyDescent="0.25">
      <c r="C45" s="514"/>
      <c r="D45" s="515"/>
      <c r="E45" s="515"/>
      <c r="F45" s="516"/>
    </row>
    <row r="46" spans="3:6" ht="18" customHeight="1" x14ac:dyDescent="0.25">
      <c r="C46" s="514"/>
      <c r="D46" s="515"/>
      <c r="E46" s="515"/>
      <c r="F46" s="516"/>
    </row>
    <row r="47" spans="3:6" ht="18" customHeight="1" x14ac:dyDescent="0.25">
      <c r="C47" s="514"/>
      <c r="D47" s="515"/>
      <c r="E47" s="515"/>
      <c r="F47" s="516"/>
    </row>
    <row r="48" spans="3:6" ht="18" customHeight="1" x14ac:dyDescent="0.25">
      <c r="C48" s="514"/>
      <c r="D48" s="515"/>
      <c r="E48" s="515"/>
      <c r="F48" s="516"/>
    </row>
    <row r="49" spans="3:6" ht="18" customHeight="1" x14ac:dyDescent="0.25">
      <c r="C49" s="514"/>
      <c r="D49" s="515"/>
      <c r="E49" s="515"/>
      <c r="F49" s="516"/>
    </row>
    <row r="50" spans="3:6" ht="18" customHeight="1" x14ac:dyDescent="0.25">
      <c r="C50" s="514"/>
      <c r="D50" s="515"/>
      <c r="E50" s="515"/>
      <c r="F50" s="516"/>
    </row>
    <row r="51" spans="3:6" ht="18" customHeight="1" x14ac:dyDescent="0.25">
      <c r="C51" s="514"/>
      <c r="D51" s="515"/>
      <c r="E51" s="515"/>
      <c r="F51" s="516"/>
    </row>
    <row r="52" spans="3:6" ht="18" customHeight="1" x14ac:dyDescent="0.25">
      <c r="C52" s="514"/>
      <c r="D52" s="515"/>
      <c r="E52" s="515"/>
      <c r="F52" s="516"/>
    </row>
    <row r="53" spans="3:6" ht="18" customHeight="1" x14ac:dyDescent="0.25">
      <c r="C53" s="514"/>
      <c r="D53" s="515"/>
      <c r="E53" s="515"/>
      <c r="F53" s="516"/>
    </row>
    <row r="54" spans="3:6" ht="18" customHeight="1" x14ac:dyDescent="0.25">
      <c r="C54" s="514"/>
      <c r="D54" s="515"/>
      <c r="E54" s="515"/>
      <c r="F54" s="516"/>
    </row>
    <row r="55" spans="3:6" ht="18" customHeight="1" x14ac:dyDescent="0.25">
      <c r="C55" s="514"/>
      <c r="D55" s="515"/>
      <c r="E55" s="515"/>
      <c r="F55" s="516"/>
    </row>
    <row r="56" spans="3:6" ht="18" customHeight="1" x14ac:dyDescent="0.25">
      <c r="C56" s="514"/>
      <c r="D56" s="515"/>
      <c r="E56" s="515"/>
      <c r="F56" s="516"/>
    </row>
    <row r="57" spans="3:6" ht="18" customHeight="1" x14ac:dyDescent="0.25">
      <c r="C57" s="514"/>
      <c r="D57" s="515"/>
      <c r="E57" s="515"/>
      <c r="F57" s="516"/>
    </row>
    <row r="58" spans="3:6" ht="18" customHeight="1" x14ac:dyDescent="0.25">
      <c r="C58" s="517"/>
      <c r="D58" s="518"/>
      <c r="E58" s="518"/>
      <c r="F58" s="519"/>
    </row>
    <row r="59" spans="3:6" ht="15" customHeight="1" x14ac:dyDescent="0.25"/>
    <row r="60" spans="3:6" ht="15" customHeight="1" x14ac:dyDescent="0.25"/>
    <row r="61" spans="3:6" ht="15" customHeight="1" x14ac:dyDescent="0.25"/>
    <row r="62" spans="3:6" ht="15" customHeight="1" x14ac:dyDescent="0.25"/>
  </sheetData>
  <sheetProtection algorithmName="SHA-512" hashValue="fW0tOOlLs0JnC26mHlYGX3Fv9wYImBPfitqVwxxfZ9OPZijLEvyWPLz+u5Hg74Q2rdqc4FwfmVChCyGfM14j0Q==" saltValue="wFrsOExI44gccxEgPr1SQA==" spinCount="100000" sheet="1" objects="1" scenarios="1" sort="0" autoFilter="0"/>
  <mergeCells count="31">
    <mergeCell ref="D5:F5"/>
    <mergeCell ref="C8:F8"/>
    <mergeCell ref="C30:F30"/>
    <mergeCell ref="C31:F31"/>
    <mergeCell ref="C32:F32"/>
    <mergeCell ref="C33:F33"/>
    <mergeCell ref="C34:F34"/>
    <mergeCell ref="C35:F35"/>
    <mergeCell ref="C36:F36"/>
    <mergeCell ref="C37:F37"/>
    <mergeCell ref="C47:F47"/>
    <mergeCell ref="C48:F48"/>
    <mergeCell ref="C49:F49"/>
    <mergeCell ref="C50:F50"/>
    <mergeCell ref="C51:F51"/>
    <mergeCell ref="C57:F57"/>
    <mergeCell ref="C58:F58"/>
    <mergeCell ref="C38:F38"/>
    <mergeCell ref="C39:F39"/>
    <mergeCell ref="C40:F40"/>
    <mergeCell ref="C41:F41"/>
    <mergeCell ref="C42:F42"/>
    <mergeCell ref="C43:F43"/>
    <mergeCell ref="C44:F44"/>
    <mergeCell ref="C45:F45"/>
    <mergeCell ref="C46:F46"/>
    <mergeCell ref="C52:F52"/>
    <mergeCell ref="C53:F53"/>
    <mergeCell ref="C54:F54"/>
    <mergeCell ref="C55:F55"/>
    <mergeCell ref="C56:F56"/>
  </mergeCells>
  <hyperlinks>
    <hyperlink ref="C1" location="ÍNDICE!A1" display="BACK TO INDEX" xr:uid="{00000000-0004-0000-1900-000000000000}"/>
  </hyperlinks>
  <pageMargins left="0.7" right="0.7" top="0.75" bottom="0.75" header="0.3" footer="0.3"/>
  <pageSetup scale="53" orientation="portrait" r:id="rId1"/>
  <colBreaks count="1" manualBreakCount="1">
    <brk id="7" min="1" max="53" man="1"/>
  </col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A47"/>
  <sheetViews>
    <sheetView showGridLines="0" zoomScaleNormal="100" workbookViewId="0">
      <pane ySplit="1" topLeftCell="A2" activePane="bottomLeft" state="frozen"/>
      <selection activeCell="B1" sqref="B1:C1"/>
      <selection pane="bottomLeft" activeCell="H46" sqref="H46"/>
    </sheetView>
  </sheetViews>
  <sheetFormatPr defaultColWidth="0" defaultRowHeight="15" customHeight="1" zeroHeight="1" x14ac:dyDescent="0.25"/>
  <cols>
    <col min="1" max="1" width="1.140625" style="3" customWidth="1"/>
    <col min="2" max="2" width="8.7109375" style="4" customWidth="1"/>
    <col min="3" max="3" width="53.7109375" style="4" customWidth="1"/>
    <col min="4" max="8" width="17.42578125" style="3" customWidth="1"/>
    <col min="9" max="9" width="0.85546875" style="3" customWidth="1"/>
    <col min="10" max="10" width="12" style="144" hidden="1" customWidth="1"/>
    <col min="11" max="11" width="17" style="3" hidden="1" customWidth="1"/>
    <col min="12" max="27" width="0" style="3" hidden="1" customWidth="1"/>
    <col min="28" max="16384" width="17" style="3" hidden="1"/>
  </cols>
  <sheetData>
    <row r="1" spans="1:10" ht="21" customHeight="1" x14ac:dyDescent="0.2">
      <c r="A1" s="2"/>
      <c r="B1" s="445" t="s">
        <v>29</v>
      </c>
      <c r="C1" s="446"/>
      <c r="D1" s="2"/>
      <c r="E1" s="2"/>
      <c r="F1" s="2"/>
      <c r="G1" s="2"/>
      <c r="H1" s="2"/>
      <c r="I1" s="56"/>
      <c r="J1" s="143"/>
    </row>
    <row r="2" spans="1:10" ht="15" customHeight="1" x14ac:dyDescent="0.2"/>
    <row r="3" spans="1:10" ht="15" customHeight="1" x14ac:dyDescent="0.25">
      <c r="F3" s="169" t="s">
        <v>525</v>
      </c>
      <c r="G3" s="186">
        <f>IF(COVER!E6&lt;&gt;"",COVER!E6+1,"")</f>
        <v>2022</v>
      </c>
    </row>
    <row r="4" spans="1:10" ht="15" customHeight="1" x14ac:dyDescent="0.2"/>
    <row r="5" spans="1:10" ht="20.25" customHeight="1" x14ac:dyDescent="0.2">
      <c r="B5" s="447" t="s">
        <v>4</v>
      </c>
      <c r="C5" s="508"/>
      <c r="D5" s="509" t="str">
        <f>IF(COVER!E8&lt;&gt;"",COVER!E8,"")</f>
        <v>POWER BLOX AFRICA, S.A.</v>
      </c>
      <c r="E5" s="510"/>
      <c r="F5" s="511"/>
    </row>
    <row r="6" spans="1:10" ht="15" customHeight="1" x14ac:dyDescent="0.2"/>
    <row r="7" spans="1:10" ht="15" customHeight="1" x14ac:dyDescent="0.2"/>
    <row r="8" spans="1:10" s="6" customFormat="1" ht="30.75" customHeight="1" x14ac:dyDescent="0.25">
      <c r="B8" s="376" t="s">
        <v>526</v>
      </c>
      <c r="C8" s="376"/>
      <c r="D8" s="377"/>
      <c r="E8" s="377"/>
      <c r="F8" s="377"/>
      <c r="G8" s="377"/>
      <c r="H8" s="377"/>
      <c r="J8" s="145"/>
    </row>
    <row r="9" spans="1:10" ht="15" customHeight="1" x14ac:dyDescent="0.2">
      <c r="G9" s="122" t="s">
        <v>432</v>
      </c>
      <c r="H9" s="153" t="str">
        <f>IF(COVER!$K$6&lt;&gt;"",CONCATENATE("milhares ",COVER!$K$6),"")</f>
        <v>milhares MZN</v>
      </c>
    </row>
    <row r="10" spans="1:10" s="31" customFormat="1" ht="21" customHeight="1" x14ac:dyDescent="0.25">
      <c r="B10" s="528" t="s">
        <v>572</v>
      </c>
      <c r="C10" s="531" t="s">
        <v>571</v>
      </c>
      <c r="D10" s="527">
        <f>$G$3</f>
        <v>2022</v>
      </c>
      <c r="E10" s="533" t="s">
        <v>704</v>
      </c>
      <c r="F10" s="534"/>
      <c r="G10" s="534"/>
      <c r="H10" s="535"/>
      <c r="J10" s="146"/>
    </row>
    <row r="11" spans="1:10" s="31" customFormat="1" ht="21" customHeight="1" x14ac:dyDescent="0.25">
      <c r="B11" s="529"/>
      <c r="C11" s="532"/>
      <c r="D11" s="527"/>
      <c r="E11" s="170">
        <f>IF(D10&lt;&gt;"",D10+1,"")</f>
        <v>2023</v>
      </c>
      <c r="F11" s="170">
        <f>IF(E11&lt;&gt;"",E11+1,"")</f>
        <v>2024</v>
      </c>
      <c r="G11" s="170">
        <f>IF(F11&lt;&gt;"",F11+1,"")</f>
        <v>2025</v>
      </c>
      <c r="H11" s="170">
        <f>IF(G11&lt;&gt;"",G11+1,"")</f>
        <v>2026</v>
      </c>
      <c r="J11" s="146"/>
    </row>
    <row r="12" spans="1:10" s="31" customFormat="1" ht="16.5" customHeight="1" x14ac:dyDescent="0.25">
      <c r="B12" s="530"/>
      <c r="C12" s="532"/>
      <c r="D12" s="154" t="s">
        <v>570</v>
      </c>
      <c r="E12" s="154" t="s">
        <v>570</v>
      </c>
      <c r="F12" s="154" t="s">
        <v>570</v>
      </c>
      <c r="G12" s="154" t="s">
        <v>570</v>
      </c>
      <c r="H12" s="154" t="s">
        <v>570</v>
      </c>
      <c r="J12" s="146"/>
    </row>
    <row r="13" spans="1:10" ht="19.5" customHeight="1" x14ac:dyDescent="0.2">
      <c r="B13" s="310"/>
      <c r="C13" s="311"/>
      <c r="D13" s="206"/>
      <c r="E13" s="205"/>
      <c r="F13" s="205"/>
      <c r="G13" s="205"/>
      <c r="H13" s="205"/>
      <c r="J13" s="144" t="str">
        <f>IF(G13="","",IFERROR(ABS(#REF!),""))</f>
        <v/>
      </c>
    </row>
    <row r="14" spans="1:10" ht="19.5" customHeight="1" x14ac:dyDescent="0.2">
      <c r="B14" s="312"/>
      <c r="C14" s="209"/>
      <c r="D14" s="206"/>
      <c r="E14" s="205"/>
      <c r="F14" s="205"/>
      <c r="G14" s="205"/>
      <c r="H14" s="205"/>
      <c r="J14" s="144" t="str">
        <f>IF(G14="","",IFERROR(ABS(#REF!),""))</f>
        <v/>
      </c>
    </row>
    <row r="15" spans="1:10" ht="19.5" customHeight="1" x14ac:dyDescent="0.2">
      <c r="B15" s="313"/>
      <c r="C15" s="314"/>
      <c r="D15" s="206"/>
      <c r="E15" s="205"/>
      <c r="F15" s="205"/>
      <c r="G15" s="205"/>
      <c r="H15" s="205"/>
      <c r="J15" s="144" t="str">
        <f>IF(G15="","",IFERROR(ABS(#REF!),""))</f>
        <v/>
      </c>
    </row>
    <row r="16" spans="1:10" ht="19.5" customHeight="1" x14ac:dyDescent="0.2">
      <c r="B16" s="313"/>
      <c r="C16" s="314"/>
      <c r="D16" s="206"/>
      <c r="E16" s="205"/>
      <c r="F16" s="205"/>
      <c r="G16" s="205"/>
      <c r="H16" s="205"/>
    </row>
    <row r="17" spans="2:8" ht="19.5" customHeight="1" x14ac:dyDescent="0.2">
      <c r="B17" s="313"/>
      <c r="C17" s="314"/>
      <c r="D17" s="206"/>
      <c r="E17" s="205"/>
      <c r="F17" s="205"/>
      <c r="G17" s="205"/>
      <c r="H17" s="205"/>
    </row>
    <row r="18" spans="2:8" ht="19.5" customHeight="1" x14ac:dyDescent="0.2">
      <c r="B18" s="313"/>
      <c r="C18" s="314"/>
      <c r="D18" s="206"/>
      <c r="E18" s="205"/>
      <c r="F18" s="205"/>
      <c r="G18" s="205"/>
      <c r="H18" s="205"/>
    </row>
    <row r="19" spans="2:8" ht="19.5" customHeight="1" x14ac:dyDescent="0.2">
      <c r="B19" s="313"/>
      <c r="C19" s="314"/>
      <c r="D19" s="206"/>
      <c r="E19" s="205"/>
      <c r="F19" s="205"/>
      <c r="G19" s="205"/>
      <c r="H19" s="205"/>
    </row>
    <row r="20" spans="2:8" ht="19.5" customHeight="1" x14ac:dyDescent="0.2">
      <c r="B20" s="313"/>
      <c r="C20" s="314"/>
      <c r="D20" s="206"/>
      <c r="E20" s="205"/>
      <c r="F20" s="205"/>
      <c r="G20" s="205"/>
      <c r="H20" s="205"/>
    </row>
    <row r="21" spans="2:8" ht="19.5" customHeight="1" x14ac:dyDescent="0.2">
      <c r="B21" s="313"/>
      <c r="C21" s="314"/>
      <c r="D21" s="206"/>
      <c r="E21" s="205"/>
      <c r="F21" s="205"/>
      <c r="G21" s="205"/>
      <c r="H21" s="205"/>
    </row>
    <row r="22" spans="2:8" ht="19.5" customHeight="1" x14ac:dyDescent="0.2">
      <c r="B22" s="313"/>
      <c r="C22" s="314"/>
      <c r="D22" s="206"/>
      <c r="E22" s="205"/>
      <c r="F22" s="205"/>
      <c r="G22" s="205"/>
      <c r="H22" s="205"/>
    </row>
    <row r="23" spans="2:8" ht="19.5" customHeight="1" x14ac:dyDescent="0.2">
      <c r="B23" s="313"/>
      <c r="C23" s="314"/>
      <c r="D23" s="206"/>
      <c r="E23" s="205"/>
      <c r="F23" s="205"/>
      <c r="G23" s="205"/>
      <c r="H23" s="205"/>
    </row>
    <row r="24" spans="2:8" ht="19.5" customHeight="1" x14ac:dyDescent="0.2">
      <c r="B24" s="313"/>
      <c r="C24" s="314"/>
      <c r="D24" s="206"/>
      <c r="E24" s="205"/>
      <c r="F24" s="205"/>
      <c r="G24" s="205"/>
      <c r="H24" s="205"/>
    </row>
    <row r="25" spans="2:8" ht="19.5" customHeight="1" x14ac:dyDescent="0.2">
      <c r="B25" s="313"/>
      <c r="C25" s="314"/>
      <c r="D25" s="206"/>
      <c r="E25" s="205"/>
      <c r="F25" s="205"/>
      <c r="G25" s="205"/>
      <c r="H25" s="205"/>
    </row>
    <row r="26" spans="2:8" ht="19.5" customHeight="1" x14ac:dyDescent="0.2">
      <c r="B26" s="313"/>
      <c r="C26" s="314"/>
      <c r="D26" s="206"/>
      <c r="E26" s="205"/>
      <c r="F26" s="205"/>
      <c r="G26" s="205"/>
      <c r="H26" s="205"/>
    </row>
    <row r="27" spans="2:8" ht="19.5" customHeight="1" x14ac:dyDescent="0.2">
      <c r="B27" s="313"/>
      <c r="C27" s="314"/>
      <c r="D27" s="206"/>
      <c r="E27" s="205"/>
      <c r="F27" s="205"/>
      <c r="G27" s="205"/>
      <c r="H27" s="205"/>
    </row>
    <row r="28" spans="2:8" ht="19.5" customHeight="1" x14ac:dyDescent="0.2">
      <c r="B28" s="313"/>
      <c r="C28" s="314"/>
      <c r="D28" s="206"/>
      <c r="E28" s="205"/>
      <c r="F28" s="205"/>
      <c r="G28" s="205"/>
      <c r="H28" s="205"/>
    </row>
    <row r="29" spans="2:8" ht="19.5" customHeight="1" x14ac:dyDescent="0.2">
      <c r="B29" s="313"/>
      <c r="C29" s="314"/>
      <c r="D29" s="206"/>
      <c r="E29" s="205"/>
      <c r="F29" s="205"/>
      <c r="G29" s="205"/>
      <c r="H29" s="205"/>
    </row>
    <row r="30" spans="2:8" ht="19.5" customHeight="1" x14ac:dyDescent="0.2">
      <c r="B30" s="313"/>
      <c r="C30" s="314"/>
      <c r="D30" s="206"/>
      <c r="E30" s="205"/>
      <c r="F30" s="205"/>
      <c r="G30" s="205"/>
      <c r="H30" s="205"/>
    </row>
    <row r="31" spans="2:8" ht="19.5" customHeight="1" x14ac:dyDescent="0.25">
      <c r="B31" s="313"/>
      <c r="C31" s="314"/>
      <c r="D31" s="206"/>
      <c r="E31" s="205"/>
      <c r="F31" s="205"/>
      <c r="G31" s="205"/>
      <c r="H31" s="205"/>
    </row>
    <row r="32" spans="2:8" ht="19.5" customHeight="1" x14ac:dyDescent="0.25">
      <c r="B32" s="313"/>
      <c r="C32" s="314"/>
      <c r="D32" s="206"/>
      <c r="E32" s="205"/>
      <c r="F32" s="205"/>
      <c r="G32" s="205"/>
      <c r="H32" s="205"/>
    </row>
    <row r="33" spans="1:10" ht="19.5" customHeight="1" x14ac:dyDescent="0.25">
      <c r="B33" s="313"/>
      <c r="C33" s="314"/>
      <c r="D33" s="206"/>
      <c r="E33" s="205"/>
      <c r="F33" s="205"/>
      <c r="G33" s="205"/>
      <c r="H33" s="205"/>
    </row>
    <row r="34" spans="1:10" ht="19.5" customHeight="1" x14ac:dyDescent="0.25">
      <c r="B34" s="313"/>
      <c r="C34" s="314"/>
      <c r="D34" s="206"/>
      <c r="E34" s="205"/>
      <c r="F34" s="205"/>
      <c r="G34" s="205"/>
      <c r="H34" s="205"/>
    </row>
    <row r="35" spans="1:10" ht="19.5" customHeight="1" x14ac:dyDescent="0.25">
      <c r="B35" s="313"/>
      <c r="C35" s="314"/>
      <c r="D35" s="206"/>
      <c r="E35" s="205"/>
      <c r="F35" s="205"/>
      <c r="G35" s="205"/>
      <c r="H35" s="205"/>
    </row>
    <row r="36" spans="1:10" ht="19.5" customHeight="1" x14ac:dyDescent="0.25">
      <c r="B36" s="313"/>
      <c r="C36" s="314"/>
      <c r="D36" s="206"/>
      <c r="E36" s="205"/>
      <c r="F36" s="205"/>
      <c r="G36" s="205"/>
      <c r="H36" s="205"/>
    </row>
    <row r="37" spans="1:10" ht="19.5" customHeight="1" x14ac:dyDescent="0.25">
      <c r="B37" s="313"/>
      <c r="C37" s="314"/>
      <c r="D37" s="206"/>
      <c r="E37" s="205"/>
      <c r="F37" s="205"/>
      <c r="G37" s="205"/>
      <c r="H37" s="205"/>
    </row>
    <row r="38" spans="1:10" ht="19.5" customHeight="1" x14ac:dyDescent="0.25">
      <c r="B38" s="313"/>
      <c r="C38" s="314"/>
      <c r="D38" s="206"/>
      <c r="E38" s="205"/>
      <c r="F38" s="205"/>
      <c r="G38" s="205"/>
      <c r="H38" s="205"/>
    </row>
    <row r="39" spans="1:10" ht="19.5" customHeight="1" x14ac:dyDescent="0.25">
      <c r="B39" s="313"/>
      <c r="C39" s="314"/>
      <c r="D39" s="206"/>
      <c r="E39" s="205"/>
      <c r="F39" s="205"/>
      <c r="G39" s="205"/>
      <c r="H39" s="205"/>
    </row>
    <row r="40" spans="1:10" ht="19.5" customHeight="1" x14ac:dyDescent="0.25">
      <c r="B40" s="313"/>
      <c r="C40" s="314"/>
      <c r="D40" s="206"/>
      <c r="E40" s="205"/>
      <c r="F40" s="205"/>
      <c r="G40" s="205"/>
      <c r="H40" s="205"/>
    </row>
    <row r="41" spans="1:10" ht="19.5" customHeight="1" x14ac:dyDescent="0.25">
      <c r="B41" s="313"/>
      <c r="C41" s="314"/>
      <c r="D41" s="206"/>
      <c r="E41" s="205"/>
      <c r="F41" s="205"/>
      <c r="G41" s="205"/>
      <c r="H41" s="205"/>
    </row>
    <row r="42" spans="1:10" ht="19.5" customHeight="1" x14ac:dyDescent="0.25">
      <c r="B42" s="312"/>
      <c r="C42" s="209"/>
      <c r="D42" s="206"/>
      <c r="E42" s="205"/>
      <c r="F42" s="205"/>
      <c r="G42" s="205"/>
      <c r="H42" s="205"/>
      <c r="J42" s="144" t="str">
        <f>IF(G42="","",IFERROR(ABS(#REF!),""))</f>
        <v/>
      </c>
    </row>
    <row r="43" spans="1:10" ht="19.5" customHeight="1" x14ac:dyDescent="0.25">
      <c r="B43" s="312"/>
      <c r="C43" s="209"/>
      <c r="D43" s="206"/>
      <c r="E43" s="205"/>
      <c r="F43" s="205"/>
      <c r="G43" s="205"/>
      <c r="H43" s="205"/>
      <c r="J43" s="144" t="str">
        <f>IF(G43="","",IFERROR(ABS(#REF!),""))</f>
        <v/>
      </c>
    </row>
    <row r="44" spans="1:10" ht="30.75" customHeight="1" x14ac:dyDescent="0.25">
      <c r="B44" s="449" t="s">
        <v>573</v>
      </c>
      <c r="C44" s="526" t="str">
        <f>IF('DETALHE GANHOS E GASTOS'!C124&lt;&gt;"",'DETALHE GANHOS E GASTOS'!C124,"")</f>
        <v/>
      </c>
      <c r="D44" s="118">
        <f>SUM(D13:D43)</f>
        <v>0</v>
      </c>
      <c r="E44" s="119">
        <f t="shared" ref="E44:H44" si="0">SUM(E13:E43)</f>
        <v>0</v>
      </c>
      <c r="F44" s="119">
        <f t="shared" si="0"/>
        <v>0</v>
      </c>
      <c r="G44" s="119">
        <f t="shared" si="0"/>
        <v>0</v>
      </c>
      <c r="H44" s="152">
        <f t="shared" si="0"/>
        <v>0</v>
      </c>
    </row>
    <row r="45" spans="1:10" ht="15" customHeight="1" x14ac:dyDescent="0.25">
      <c r="A45" s="81"/>
      <c r="B45" s="81"/>
      <c r="C45" s="81"/>
      <c r="D45" s="81"/>
      <c r="E45" s="81"/>
      <c r="F45" s="81"/>
      <c r="G45" s="81"/>
      <c r="H45" s="81"/>
    </row>
    <row r="46" spans="1:10" ht="15" customHeight="1" x14ac:dyDescent="0.25"/>
    <row r="47" spans="1:10" ht="15" customHeight="1" x14ac:dyDescent="0.25"/>
  </sheetData>
  <sheetProtection algorithmName="SHA-512" hashValue="NzP1yUjyGa46uVoLm1Hfp0656P5MTcP883+WrBe7Ez98xw2u4cwWoTzQdBEyDbe6hHU8gKq7ONJkitHrmA4+Wg==" saltValue="Ry5kaFHv9gX4M3KIzusctw==" spinCount="100000" sheet="1" objects="1" scenarios="1" sort="0" autoFilter="0"/>
  <mergeCells count="9">
    <mergeCell ref="B44:C44"/>
    <mergeCell ref="B1:C1"/>
    <mergeCell ref="B5:C5"/>
    <mergeCell ref="D5:F5"/>
    <mergeCell ref="B8:H8"/>
    <mergeCell ref="D10:D11"/>
    <mergeCell ref="B10:B12"/>
    <mergeCell ref="C10:C12"/>
    <mergeCell ref="E10:H10"/>
  </mergeCells>
  <hyperlinks>
    <hyperlink ref="B1" location="COVER!A1" display="BACK TO INDEX" xr:uid="{00000000-0004-0000-1A00-000000000000}"/>
    <hyperlink ref="B1:C1" location="ÍNDICE!A1" display="BACK TO INDEX" xr:uid="{00000000-0004-0000-1A00-000001000000}"/>
  </hyperlinks>
  <pageMargins left="0.7" right="0.7" top="0.75" bottom="0.75" header="0.3" footer="0.3"/>
  <pageSetup scale="53" orientation="portrait" r:id="rId1"/>
  <colBreaks count="1" manualBreakCount="1">
    <brk id="10" min="1" max="46" man="1"/>
  </col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G36"/>
  <sheetViews>
    <sheetView showGridLines="0" topLeftCell="C1" zoomScaleNormal="100" workbookViewId="0">
      <pane ySplit="1" topLeftCell="A2" activePane="bottomLeft" state="frozen"/>
      <selection activeCell="B1" sqref="B1:C1"/>
      <selection pane="bottomLeft" activeCell="U35" sqref="U35"/>
    </sheetView>
  </sheetViews>
  <sheetFormatPr defaultColWidth="0" defaultRowHeight="15" customHeight="1" zeroHeight="1" x14ac:dyDescent="0.25"/>
  <cols>
    <col min="1" max="1" width="1.140625" style="3" customWidth="1"/>
    <col min="2" max="2" width="9.85546875" style="3" customWidth="1"/>
    <col min="3" max="3" width="1.7109375" style="3" customWidth="1"/>
    <col min="4" max="6" width="18" style="3" customWidth="1"/>
    <col min="7" max="8" width="2.7109375" style="3" customWidth="1"/>
    <col min="9" max="11" width="18" style="3" customWidth="1"/>
    <col min="12" max="13" width="2.7109375" style="3" customWidth="1"/>
    <col min="14" max="16" width="18" style="3" customWidth="1"/>
    <col min="17" max="18" width="2.7109375" style="3" customWidth="1"/>
    <col min="19" max="21" width="18" style="3" customWidth="1"/>
    <col min="22" max="22" width="1" style="3" customWidth="1"/>
    <col min="23" max="24" width="5" style="3" hidden="1" customWidth="1"/>
    <col min="25" max="27" width="9.140625" style="3" hidden="1" customWidth="1"/>
    <col min="28" max="29" width="5" style="3" hidden="1" customWidth="1"/>
    <col min="30" max="33" width="9.140625" style="3" hidden="1" customWidth="1"/>
    <col min="34" max="16384" width="5" style="3" hidden="1"/>
  </cols>
  <sheetData>
    <row r="1" spans="1:22" ht="21" customHeight="1" x14ac:dyDescent="0.2">
      <c r="A1" s="2"/>
      <c r="B1" s="445" t="s">
        <v>29</v>
      </c>
      <c r="C1" s="540"/>
      <c r="D1" s="540"/>
      <c r="E1" s="2"/>
      <c r="F1" s="2"/>
      <c r="G1" s="2"/>
      <c r="H1" s="2"/>
      <c r="I1" s="2"/>
      <c r="J1" s="2"/>
      <c r="K1" s="2"/>
      <c r="L1" s="2"/>
      <c r="M1" s="2"/>
      <c r="N1" s="2"/>
      <c r="O1" s="2"/>
      <c r="P1" s="2"/>
      <c r="Q1" s="2"/>
      <c r="R1" s="2"/>
      <c r="S1" s="2"/>
      <c r="T1" s="2"/>
      <c r="U1" s="2"/>
      <c r="V1" s="56"/>
    </row>
    <row r="2" spans="1:22" ht="15" customHeight="1" x14ac:dyDescent="0.2"/>
    <row r="3" spans="1:22" ht="15" customHeight="1" x14ac:dyDescent="0.25">
      <c r="H3" s="169" t="s">
        <v>37</v>
      </c>
      <c r="I3" s="186">
        <f>IF(COVER!E6&lt;&gt;"",COVER!E6,"")</f>
        <v>2021</v>
      </c>
    </row>
    <row r="4" spans="1:22" ht="15" customHeight="1" x14ac:dyDescent="0.2"/>
    <row r="5" spans="1:22" ht="20.25" customHeight="1" x14ac:dyDescent="0.2">
      <c r="B5" s="434" t="s">
        <v>4</v>
      </c>
      <c r="C5" s="435"/>
      <c r="D5" s="435"/>
      <c r="E5" s="536" t="str">
        <f>IF(COVER!E8&lt;&gt;"",COVER!E8,"")</f>
        <v>POWER BLOX AFRICA, S.A.</v>
      </c>
      <c r="F5" s="537"/>
      <c r="G5" s="537"/>
      <c r="H5" s="537"/>
      <c r="I5" s="537"/>
    </row>
    <row r="6" spans="1:22" ht="15" customHeight="1" x14ac:dyDescent="0.2"/>
    <row r="7" spans="1:22" ht="15" customHeight="1" x14ac:dyDescent="0.2"/>
    <row r="8" spans="1:22" s="6" customFormat="1" ht="30.75" customHeight="1" x14ac:dyDescent="0.25">
      <c r="B8" s="376" t="s">
        <v>687</v>
      </c>
      <c r="C8" s="376"/>
      <c r="D8" s="377"/>
      <c r="E8" s="543" t="str">
        <f>IF(I3&lt;&gt;"","ÚLTIMOS 3 ANOS","")</f>
        <v>ÚLTIMOS 3 ANOS</v>
      </c>
      <c r="F8" s="543"/>
      <c r="G8" s="544"/>
      <c r="H8" s="544"/>
      <c r="I8" s="172">
        <f>IF(I3&lt;&gt;"",I3-2,"")</f>
        <v>2019</v>
      </c>
      <c r="J8" s="172" t="str">
        <f>IF(I3&lt;&gt;"","a","")</f>
        <v>a</v>
      </c>
      <c r="K8" s="172">
        <f>IF(I3&lt;&gt;"",I3,"")</f>
        <v>2021</v>
      </c>
      <c r="L8" s="543"/>
      <c r="M8" s="544"/>
      <c r="N8" s="544"/>
      <c r="O8" s="544"/>
      <c r="P8" s="544"/>
      <c r="Q8" s="544"/>
      <c r="R8" s="544"/>
      <c r="S8" s="544"/>
      <c r="T8" s="544"/>
      <c r="U8" s="544"/>
    </row>
    <row r="9" spans="1:22" ht="15" customHeight="1" x14ac:dyDescent="0.25"/>
    <row r="10" spans="1:22" ht="15" customHeight="1" x14ac:dyDescent="0.25">
      <c r="B10" s="4"/>
    </row>
    <row r="11" spans="1:22" ht="15" customHeight="1" x14ac:dyDescent="0.25">
      <c r="B11" s="4"/>
    </row>
    <row r="12" spans="1:22" ht="15" customHeight="1" x14ac:dyDescent="0.25">
      <c r="B12" s="538" t="s">
        <v>122</v>
      </c>
      <c r="C12" s="4"/>
      <c r="D12" s="545" t="s">
        <v>690</v>
      </c>
      <c r="E12" s="546"/>
      <c r="F12" s="547"/>
    </row>
    <row r="13" spans="1:22" ht="15" customHeight="1" x14ac:dyDescent="0.25">
      <c r="B13" s="539"/>
      <c r="C13" s="4"/>
      <c r="D13" s="173">
        <f>IF($I$3&lt;&gt;"",$I$3-2,"")</f>
        <v>2019</v>
      </c>
      <c r="E13" s="173">
        <f>IF($I$3&lt;&gt;"",$I$3-1,"")</f>
        <v>2020</v>
      </c>
      <c r="F13" s="173">
        <f>IF($I$3&lt;&gt;"",$I$3,"")</f>
        <v>2021</v>
      </c>
      <c r="G13" s="4"/>
    </row>
    <row r="14" spans="1:22" ht="15" customHeight="1" x14ac:dyDescent="0.25">
      <c r="B14" s="539"/>
      <c r="D14" s="174">
        <f>'INFORMAÇÃO FINANCEIRA'!$E$87</f>
        <v>0</v>
      </c>
      <c r="E14" s="174">
        <f>'INFORMAÇÃO FINANCEIRA'!$F$87</f>
        <v>0</v>
      </c>
      <c r="F14" s="174">
        <f>'INFORMAÇÃO FINANCEIRA'!$G$87</f>
        <v>-6409879.8300000001</v>
      </c>
      <c r="I14" s="545" t="s">
        <v>696</v>
      </c>
      <c r="J14" s="546"/>
      <c r="K14" s="547"/>
    </row>
    <row r="15" spans="1:22" ht="15" customHeight="1" x14ac:dyDescent="0.25">
      <c r="B15" s="539"/>
      <c r="I15" s="173">
        <f>IF($I$3&lt;&gt;"",$I$3-2,"")</f>
        <v>2019</v>
      </c>
      <c r="J15" s="173">
        <f>IF($I$3&lt;&gt;"",$I$3-1,"")</f>
        <v>2020</v>
      </c>
      <c r="K15" s="173">
        <f>IF($I$3&lt;&gt;"",$I$3,"")</f>
        <v>2021</v>
      </c>
      <c r="L15" s="4"/>
    </row>
    <row r="16" spans="1:22" ht="15" customHeight="1" x14ac:dyDescent="0.25">
      <c r="B16" s="539"/>
      <c r="D16" s="545" t="s">
        <v>325</v>
      </c>
      <c r="E16" s="546"/>
      <c r="F16" s="547"/>
      <c r="I16" s="175" t="str">
        <f>IFERROR($D$14/$D$18,"")</f>
        <v/>
      </c>
      <c r="J16" s="175" t="str">
        <f>IFERROR($E$14/$E$18,"")</f>
        <v/>
      </c>
      <c r="K16" s="175">
        <f>IFERROR($F$14/$F$18,"")</f>
        <v>-8.7494947174447173</v>
      </c>
      <c r="N16" s="545" t="s">
        <v>697</v>
      </c>
      <c r="O16" s="546"/>
      <c r="P16" s="547"/>
    </row>
    <row r="17" spans="2:21" ht="15" customHeight="1" x14ac:dyDescent="0.25">
      <c r="B17" s="539"/>
      <c r="D17" s="173">
        <f>IF($I$3&lt;&gt;"",$I$3-2,"")</f>
        <v>2019</v>
      </c>
      <c r="E17" s="173">
        <f>IF($I$3&lt;&gt;"",$I$3-1,"")</f>
        <v>2020</v>
      </c>
      <c r="F17" s="173">
        <f>IF($I$3&lt;&gt;"",$I$3,"")</f>
        <v>2021</v>
      </c>
      <c r="G17" s="4"/>
      <c r="N17" s="173">
        <f>IF($I$3&lt;&gt;"",$I$3-2,"")</f>
        <v>2019</v>
      </c>
      <c r="O17" s="173">
        <f>IF($I$3&lt;&gt;"",$I$3-1,"")</f>
        <v>2020</v>
      </c>
      <c r="P17" s="173">
        <f>IF($I$3&lt;&gt;"",$I$3,"")</f>
        <v>2021</v>
      </c>
    </row>
    <row r="18" spans="2:21" ht="15" customHeight="1" x14ac:dyDescent="0.25">
      <c r="B18" s="539"/>
      <c r="D18" s="174">
        <f>'DETALHE GANHOS E GASTOS'!$F$131+'DETALHE GANHOS E GASTOS'!$F$143</f>
        <v>0</v>
      </c>
      <c r="E18" s="174">
        <f>'DETALHE GANHOS E GASTOS'!$G$131+'DETALHE GANHOS E GASTOS'!$G$143</f>
        <v>0</v>
      </c>
      <c r="F18" s="174">
        <f>'DETALHE GANHOS E GASTOS'!$H$131+'DETALHE GANHOS E GASTOS'!$H$143</f>
        <v>732600</v>
      </c>
      <c r="I18" s="545" t="s">
        <v>692</v>
      </c>
      <c r="J18" s="546"/>
      <c r="K18" s="547"/>
      <c r="N18" s="178" t="str">
        <f>IFERROR($I$16*$I$20,"")</f>
        <v/>
      </c>
      <c r="O18" s="178" t="str">
        <f>IFERROR($J$16*$J$20,"")</f>
        <v/>
      </c>
      <c r="P18" s="178">
        <f>IFERROR($K$16*$K$20,"")</f>
        <v>3.9207639188367565</v>
      </c>
    </row>
    <row r="19" spans="2:21" ht="15" customHeight="1" x14ac:dyDescent="0.25">
      <c r="I19" s="173">
        <f>IF($I$3&lt;&gt;"",$I$3-2,"")</f>
        <v>2019</v>
      </c>
      <c r="J19" s="173">
        <f>IF($I$3&lt;&gt;"",$I$3-1,"")</f>
        <v>2020</v>
      </c>
      <c r="K19" s="173">
        <f>IF($I$3&lt;&gt;"",$I$3,"")</f>
        <v>2021</v>
      </c>
      <c r="L19" s="4"/>
    </row>
    <row r="20" spans="2:21" ht="15" customHeight="1" x14ac:dyDescent="0.25">
      <c r="B20" s="538" t="s">
        <v>82</v>
      </c>
      <c r="D20" s="545" t="s">
        <v>688</v>
      </c>
      <c r="E20" s="546"/>
      <c r="F20" s="547"/>
      <c r="G20" s="4"/>
      <c r="I20" s="176" t="str">
        <f>IFERROR($D$18/$D$22,"")</f>
        <v/>
      </c>
      <c r="J20" s="176" t="str">
        <f>IFERROR($E$18/$E$22,"")</f>
        <v/>
      </c>
      <c r="K20" s="176">
        <f>IFERROR($F$18/$F$22,"")</f>
        <v>-0.4481131820126194</v>
      </c>
    </row>
    <row r="21" spans="2:21" ht="15" customHeight="1" x14ac:dyDescent="0.25">
      <c r="B21" s="541"/>
      <c r="C21" s="4"/>
      <c r="D21" s="173">
        <f>IF($I$3&lt;&gt;"",$I$3-2,"")</f>
        <v>2019</v>
      </c>
      <c r="E21" s="173">
        <f>IF($I$3&lt;&gt;"",$I$3-1,"")</f>
        <v>2020</v>
      </c>
      <c r="F21" s="173">
        <f>IF($I$3&lt;&gt;"",$I$3,"")</f>
        <v>2021</v>
      </c>
      <c r="G21" s="4"/>
      <c r="S21" s="545" t="s">
        <v>695</v>
      </c>
      <c r="T21" s="546"/>
      <c r="U21" s="547"/>
    </row>
    <row r="22" spans="2:21" ht="15" customHeight="1" x14ac:dyDescent="0.25">
      <c r="B22" s="541"/>
      <c r="D22" s="174">
        <f>'INFORMAÇÃO FINANCEIRA'!$E$35</f>
        <v>0</v>
      </c>
      <c r="E22" s="174">
        <f>'INFORMAÇÃO FINANCEIRA'!$F$35</f>
        <v>0</v>
      </c>
      <c r="F22" s="174">
        <f>'INFORMAÇÃO FINANCEIRA'!$G$35</f>
        <v>-1634854.83</v>
      </c>
      <c r="S22" s="173">
        <f>IF($I$3&lt;&gt;"",$I$3-2,"")</f>
        <v>2019</v>
      </c>
      <c r="T22" s="173">
        <f>IF($I$3&lt;&gt;"",$I$3-1,"")</f>
        <v>2020</v>
      </c>
      <c r="U22" s="173">
        <f>IF($I$3&lt;&gt;"",$I$3,"")</f>
        <v>2021</v>
      </c>
    </row>
    <row r="23" spans="2:21" ht="15" customHeight="1" x14ac:dyDescent="0.25">
      <c r="B23" s="541"/>
      <c r="S23" s="179" t="str">
        <f>IFERROR($N$18*$N$30,"")</f>
        <v/>
      </c>
      <c r="T23" s="179" t="str">
        <f>IFERROR($O$18*$O$30,"")</f>
        <v/>
      </c>
      <c r="U23" s="179">
        <f>IFERROR($P$18*$P$30,"")</f>
        <v>1.1290406612823183</v>
      </c>
    </row>
    <row r="24" spans="2:21" ht="15" customHeight="1" x14ac:dyDescent="0.25">
      <c r="B24" s="541"/>
      <c r="D24" s="545" t="s">
        <v>689</v>
      </c>
      <c r="E24" s="546"/>
      <c r="F24" s="547"/>
    </row>
    <row r="25" spans="2:21" ht="15" customHeight="1" x14ac:dyDescent="0.25">
      <c r="B25" s="541"/>
      <c r="C25" s="4"/>
      <c r="D25" s="173">
        <f>IF($I$3&lt;&gt;"",$I$3-2,"")</f>
        <v>2019</v>
      </c>
      <c r="E25" s="173">
        <f>IF($I$3&lt;&gt;"",$I$3-1,"")</f>
        <v>2020</v>
      </c>
      <c r="F25" s="173">
        <f>IF($I$3&lt;&gt;"",$I$3,"")</f>
        <v>2021</v>
      </c>
      <c r="G25" s="4"/>
    </row>
    <row r="26" spans="2:21" ht="15" customHeight="1" x14ac:dyDescent="0.25">
      <c r="B26" s="541"/>
      <c r="D26" s="174">
        <f>'INFORMAÇÃO FINANCEIRA'!$E$63</f>
        <v>0</v>
      </c>
      <c r="E26" s="174">
        <f>'INFORMAÇÃO FINANCEIRA'!$F$63</f>
        <v>0</v>
      </c>
      <c r="F26" s="174">
        <f>'INFORMAÇÃO FINANCEIRA'!$G$63</f>
        <v>4042425.0500000003</v>
      </c>
      <c r="I26" s="545" t="s">
        <v>693</v>
      </c>
      <c r="J26" s="546"/>
      <c r="K26" s="547"/>
    </row>
    <row r="27" spans="2:21" ht="15" customHeight="1" x14ac:dyDescent="0.25">
      <c r="B27" s="541"/>
      <c r="I27" s="173">
        <f>IF($I$3&lt;&gt;"",$I$3-2,"")</f>
        <v>2019</v>
      </c>
      <c r="J27" s="173">
        <f>IF($I$3&lt;&gt;"",$I$3-1,"")</f>
        <v>2020</v>
      </c>
      <c r="K27" s="173">
        <f>IF($I$3&lt;&gt;"",$I$3,"")</f>
        <v>2021</v>
      </c>
      <c r="L27" s="4"/>
    </row>
    <row r="28" spans="2:21" ht="15" customHeight="1" x14ac:dyDescent="0.25">
      <c r="B28" s="541"/>
      <c r="D28" s="545" t="s">
        <v>691</v>
      </c>
      <c r="E28" s="546"/>
      <c r="F28" s="547"/>
      <c r="G28" s="4"/>
      <c r="I28" s="174">
        <f>$D$26+$D$30</f>
        <v>0</v>
      </c>
      <c r="J28" s="174">
        <f>$E$26+$E$30</f>
        <v>0</v>
      </c>
      <c r="K28" s="174">
        <f>$F$26+$F$30</f>
        <v>-1634854.8300000005</v>
      </c>
      <c r="N28" s="545" t="s">
        <v>694</v>
      </c>
      <c r="O28" s="546"/>
      <c r="P28" s="547"/>
    </row>
    <row r="29" spans="2:21" ht="15" customHeight="1" x14ac:dyDescent="0.25">
      <c r="B29" s="541"/>
      <c r="D29" s="173">
        <f>IF($I$3&lt;&gt;"",$I$3-2,"")</f>
        <v>2019</v>
      </c>
      <c r="E29" s="173">
        <f>IF($I$3&lt;&gt;"",$I$3-1,"")</f>
        <v>2020</v>
      </c>
      <c r="F29" s="173">
        <f>IF($I$3&lt;&gt;"",$I$3,"")</f>
        <v>2021</v>
      </c>
      <c r="G29" s="4"/>
      <c r="N29" s="173">
        <f>IF($I$3&lt;&gt;"",$I$3-2,"")</f>
        <v>2019</v>
      </c>
      <c r="O29" s="173">
        <f>IF($I$3&lt;&gt;"",$I$3-1,"")</f>
        <v>2020</v>
      </c>
      <c r="P29" s="173">
        <f>IF($I$3&lt;&gt;"",$I$3,"")</f>
        <v>2021</v>
      </c>
      <c r="Q29" s="4"/>
    </row>
    <row r="30" spans="2:21" ht="15" customHeight="1" x14ac:dyDescent="0.25">
      <c r="B30" s="542"/>
      <c r="D30" s="174">
        <f>$D$22-$D$26</f>
        <v>0</v>
      </c>
      <c r="E30" s="174">
        <f>$E$22-$E$26</f>
        <v>0</v>
      </c>
      <c r="F30" s="174">
        <f>$F$22-$F$26</f>
        <v>-5677279.8800000008</v>
      </c>
      <c r="I30" s="545" t="s">
        <v>691</v>
      </c>
      <c r="J30" s="546"/>
      <c r="K30" s="547"/>
      <c r="L30" s="4"/>
      <c r="N30" s="177" t="str">
        <f>IFERROR($I$28/$I$32,"")</f>
        <v/>
      </c>
      <c r="O30" s="177" t="str">
        <f>IFERROR($J$28/$J$32,"")</f>
        <v/>
      </c>
      <c r="P30" s="177">
        <f>IFERROR($K$28/$K$32,"")</f>
        <v>0.28796445913460944</v>
      </c>
    </row>
    <row r="31" spans="2:21" ht="15" customHeight="1" x14ac:dyDescent="0.25">
      <c r="I31" s="173">
        <f>IF($I$3&lt;&gt;"",$I$3-2,"")</f>
        <v>2019</v>
      </c>
      <c r="J31" s="173">
        <f>IF($I$3&lt;&gt;"",$I$3-1,"")</f>
        <v>2020</v>
      </c>
      <c r="K31" s="173">
        <f>IF($I$3&lt;&gt;"",$I$3,"")</f>
        <v>2021</v>
      </c>
      <c r="L31" s="4"/>
    </row>
    <row r="32" spans="2:21" ht="15" customHeight="1" x14ac:dyDescent="0.25">
      <c r="I32" s="174">
        <f>$D$30</f>
        <v>0</v>
      </c>
      <c r="J32" s="174">
        <f>$E$30</f>
        <v>0</v>
      </c>
      <c r="K32" s="174">
        <f>$F$30</f>
        <v>-5677279.8800000008</v>
      </c>
    </row>
    <row r="33" ht="15" customHeight="1" x14ac:dyDescent="0.25"/>
    <row r="34" ht="15" customHeight="1" x14ac:dyDescent="0.25"/>
    <row r="35" ht="15" customHeight="1" x14ac:dyDescent="0.25"/>
    <row r="36" ht="15" customHeight="1" x14ac:dyDescent="0.25"/>
  </sheetData>
  <sheetProtection algorithmName="SHA-512" hashValue="14178sD35jRf9vNo/gLwMYFwHNEt/Z86jVYyeJIuP/WhYH/lTZVBd3zhRO692wacfTpK68U/XyjAcAel78SpZA==" saltValue="jkSNl8f7c5VZaEDXjxlGzg==" spinCount="100000" sheet="1" objects="1" scenarios="1" sort="0" autoFilter="0"/>
  <mergeCells count="20">
    <mergeCell ref="B20:B30"/>
    <mergeCell ref="L8:U8"/>
    <mergeCell ref="I30:K30"/>
    <mergeCell ref="N16:P16"/>
    <mergeCell ref="N28:P28"/>
    <mergeCell ref="S21:U21"/>
    <mergeCell ref="D20:F20"/>
    <mergeCell ref="D24:F24"/>
    <mergeCell ref="D12:F12"/>
    <mergeCell ref="D16:F16"/>
    <mergeCell ref="D28:F28"/>
    <mergeCell ref="I14:K14"/>
    <mergeCell ref="I18:K18"/>
    <mergeCell ref="I26:K26"/>
    <mergeCell ref="E8:H8"/>
    <mergeCell ref="B5:D5"/>
    <mergeCell ref="E5:I5"/>
    <mergeCell ref="B12:B18"/>
    <mergeCell ref="B8:D8"/>
    <mergeCell ref="B1:D1"/>
  </mergeCells>
  <hyperlinks>
    <hyperlink ref="B1" location="ÍNDICE!A1" display="BACK TO INDEX" xr:uid="{00000000-0004-0000-1B00-000000000000}"/>
  </hyperlinks>
  <pageMargins left="0.70866141732283472" right="0.70866141732283472" top="0.74803149606299213" bottom="0.74803149606299213" header="0.31496062992125984" footer="0.31496062992125984"/>
  <pageSetup scale="49"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499984740745262"/>
  </sheetPr>
  <dimension ref="A1:N51"/>
  <sheetViews>
    <sheetView showGridLines="0" zoomScaleNormal="100" workbookViewId="0">
      <pane ySplit="1" topLeftCell="A26" activePane="bottomLeft" state="frozen"/>
      <selection activeCell="B1" sqref="B1:C1"/>
      <selection pane="bottomLeft" activeCell="G13" sqref="G13"/>
    </sheetView>
  </sheetViews>
  <sheetFormatPr defaultColWidth="0" defaultRowHeight="15" customHeight="1" zeroHeight="1" x14ac:dyDescent="0.25"/>
  <cols>
    <col min="1" max="1" width="1.140625" style="3" customWidth="1"/>
    <col min="2" max="2" width="46.28515625" style="4" bestFit="1" customWidth="1"/>
    <col min="3" max="3" width="52.42578125" style="4" customWidth="1"/>
    <col min="4" max="8" width="15.140625" style="3" customWidth="1"/>
    <col min="9" max="9" width="1" style="3" customWidth="1"/>
    <col min="10" max="11" width="5" style="3" hidden="1" customWidth="1"/>
    <col min="12" max="14" width="9.140625" style="3" hidden="1" customWidth="1"/>
    <col min="15" max="16384" width="5" style="3" hidden="1"/>
  </cols>
  <sheetData>
    <row r="1" spans="1:13" ht="21" customHeight="1" x14ac:dyDescent="0.2">
      <c r="A1" s="2"/>
      <c r="B1" s="167" t="s">
        <v>29</v>
      </c>
      <c r="C1" s="2"/>
      <c r="D1" s="2"/>
      <c r="E1" s="2"/>
      <c r="F1" s="2"/>
      <c r="G1" s="2"/>
      <c r="H1" s="2"/>
      <c r="I1" s="56"/>
    </row>
    <row r="2" spans="1:13" ht="15" customHeight="1" x14ac:dyDescent="0.2"/>
    <row r="3" spans="1:13" ht="15" customHeight="1" x14ac:dyDescent="0.25">
      <c r="C3" s="12" t="s">
        <v>37</v>
      </c>
      <c r="D3" s="186">
        <f>IF(COVER!E6&lt;&gt;"",COVER!E6,"")</f>
        <v>2021</v>
      </c>
    </row>
    <row r="4" spans="1:13" ht="15" customHeight="1" x14ac:dyDescent="0.2"/>
    <row r="5" spans="1:13" ht="20.25" customHeight="1" x14ac:dyDescent="0.2">
      <c r="B5" s="5" t="s">
        <v>4</v>
      </c>
      <c r="C5" s="315" t="str">
        <f>IF(COVER!E8&lt;&gt;"",COVER!E8,"")</f>
        <v>POWER BLOX AFRICA, S.A.</v>
      </c>
    </row>
    <row r="6" spans="1:13" ht="15" customHeight="1" x14ac:dyDescent="0.2"/>
    <row r="7" spans="1:13" ht="15" customHeight="1" x14ac:dyDescent="0.2"/>
    <row r="8" spans="1:13" s="6" customFormat="1" ht="30.75" customHeight="1" x14ac:dyDescent="0.25">
      <c r="B8" s="376" t="s">
        <v>575</v>
      </c>
      <c r="C8" s="376"/>
      <c r="D8" s="377"/>
      <c r="E8" s="377"/>
      <c r="F8" s="377"/>
      <c r="G8" s="377"/>
      <c r="H8" s="377"/>
    </row>
    <row r="9" spans="1:13" ht="15" customHeight="1" x14ac:dyDescent="0.25"/>
    <row r="10" spans="1:13" s="31" customFormat="1" ht="31.5" customHeight="1" x14ac:dyDescent="0.25">
      <c r="B10" s="67"/>
      <c r="C10" s="102"/>
      <c r="D10" s="103">
        <f>IF(E10&lt;&gt;"",E10-1,"")</f>
        <v>2017</v>
      </c>
      <c r="E10" s="170">
        <f>IF(F10&lt;&gt;"",F10-1,"")</f>
        <v>2018</v>
      </c>
      <c r="F10" s="170">
        <f>IF(G10&lt;&gt;"",G10-1,"")</f>
        <v>2019</v>
      </c>
      <c r="G10" s="170">
        <f>IF(H10&lt;&gt;"",H10-1,"")</f>
        <v>2020</v>
      </c>
      <c r="H10" s="104">
        <f>$D$3</f>
        <v>2021</v>
      </c>
    </row>
    <row r="11" spans="1:13" ht="15" customHeight="1" x14ac:dyDescent="0.25">
      <c r="B11" s="71"/>
    </row>
    <row r="12" spans="1:13" ht="21" customHeight="1" x14ac:dyDescent="0.25">
      <c r="B12" s="378" t="s">
        <v>576</v>
      </c>
      <c r="C12" s="548"/>
      <c r="D12" s="379"/>
      <c r="E12" s="379"/>
      <c r="F12" s="379"/>
      <c r="G12" s="379"/>
      <c r="H12" s="379"/>
    </row>
    <row r="13" spans="1:13" ht="15" customHeight="1" x14ac:dyDescent="0.25">
      <c r="B13" s="77" t="s">
        <v>579</v>
      </c>
      <c r="C13" s="155" t="s">
        <v>603</v>
      </c>
      <c r="D13" s="316" t="str">
        <f>IFERROR('INFORMAÇÃO FINANCEIRA'!C27/'INFORMAÇÃO FINANCEIRA'!C56,"")</f>
        <v/>
      </c>
      <c r="E13" s="317" t="str">
        <f>IFERROR('INFORMAÇÃO FINANCEIRA'!D27/'INFORMAÇÃO FINANCEIRA'!D56,"")</f>
        <v/>
      </c>
      <c r="F13" s="317" t="str">
        <f>IFERROR('INFORMAÇÃO FINANCEIRA'!E27/'INFORMAÇÃO FINANCEIRA'!E56,"")</f>
        <v/>
      </c>
      <c r="G13" s="317" t="str">
        <f>IFERROR('INFORMAÇÃO FINANCEIRA'!F27/'INFORMAÇÃO FINANCEIRA'!F56,"")</f>
        <v/>
      </c>
      <c r="H13" s="318">
        <f>IFERROR('INFORMAÇÃO FINANCEIRA'!G27/'INFORMAÇÃO FINANCEIRA'!G56,"")</f>
        <v>-0.4206261585480725</v>
      </c>
    </row>
    <row r="14" spans="1:13" ht="15" customHeight="1" x14ac:dyDescent="0.25">
      <c r="B14" s="77" t="s">
        <v>578</v>
      </c>
      <c r="C14" s="155" t="s">
        <v>602</v>
      </c>
      <c r="D14" s="316" t="str">
        <f>IFERROR(('INFORMAÇÃO FINANCEIRA'!C27-'INFORMAÇÃO FINANCEIRA'!C28)/'INFORMAÇÃO FINANCEIRA'!C56,"")</f>
        <v/>
      </c>
      <c r="E14" s="317" t="str">
        <f>IFERROR(('INFORMAÇÃO FINANCEIRA'!D27-'INFORMAÇÃO FINANCEIRA'!D28)/'INFORMAÇÃO FINANCEIRA'!D56,"")</f>
        <v/>
      </c>
      <c r="F14" s="317" t="str">
        <f>IFERROR(('INFORMAÇÃO FINANCEIRA'!E27-'INFORMAÇÃO FINANCEIRA'!E28)/'INFORMAÇÃO FINANCEIRA'!E56,"")</f>
        <v/>
      </c>
      <c r="G14" s="317" t="str">
        <f>IFERROR(('INFORMAÇÃO FINANCEIRA'!F27-'INFORMAÇÃO FINANCEIRA'!F28)/'INFORMAÇÃO FINANCEIRA'!F56,"")</f>
        <v/>
      </c>
      <c r="H14" s="318">
        <f>IFERROR(('INFORMAÇÃO FINANCEIRA'!G27-'INFORMAÇÃO FINANCEIRA'!G28)/'INFORMAÇÃO FINANCEIRA'!G56,"")</f>
        <v>-0.66746246785701069</v>
      </c>
    </row>
    <row r="15" spans="1:13" ht="15" customHeight="1" x14ac:dyDescent="0.25">
      <c r="B15" s="77" t="s">
        <v>577</v>
      </c>
      <c r="C15" s="155" t="s">
        <v>580</v>
      </c>
      <c r="D15" s="316" t="str">
        <f>IFERROR('INFORMAÇÃO FINANCEIRA'!C33/'INFORMAÇÃO FINANCEIRA'!C56,"")</f>
        <v/>
      </c>
      <c r="E15" s="317" t="str">
        <f>IFERROR('INFORMAÇÃO FINANCEIRA'!D33/'INFORMAÇÃO FINANCEIRA'!D56,"")</f>
        <v/>
      </c>
      <c r="F15" s="317" t="str">
        <f>IFERROR('INFORMAÇÃO FINANCEIRA'!E33/'INFORMAÇÃO FINANCEIRA'!E56,"")</f>
        <v/>
      </c>
      <c r="G15" s="317" t="str">
        <f>IFERROR('INFORMAÇÃO FINANCEIRA'!F33/'INFORMAÇÃO FINANCEIRA'!F56,"")</f>
        <v/>
      </c>
      <c r="H15" s="318">
        <f>IFERROR('INFORMAÇÃO FINANCEIRA'!G33/'INFORMAÇÃO FINANCEIRA'!G56,"")</f>
        <v>-0.84869031770916814</v>
      </c>
    </row>
    <row r="16" spans="1:13" s="57" customFormat="1" ht="15" customHeight="1" x14ac:dyDescent="0.25">
      <c r="A16" s="3"/>
      <c r="B16" s="4"/>
      <c r="C16" s="4"/>
      <c r="D16" s="3"/>
      <c r="E16" s="3"/>
      <c r="F16" s="3"/>
      <c r="G16" s="3"/>
      <c r="H16" s="3"/>
      <c r="I16" s="3"/>
      <c r="J16" s="3"/>
      <c r="K16" s="3"/>
      <c r="L16" s="3"/>
      <c r="M16" s="3"/>
    </row>
    <row r="17" spans="1:13" ht="21" customHeight="1" x14ac:dyDescent="0.25">
      <c r="B17" s="378" t="s">
        <v>581</v>
      </c>
      <c r="C17" s="548"/>
      <c r="D17" s="379"/>
      <c r="E17" s="379"/>
      <c r="F17" s="379"/>
      <c r="G17" s="379"/>
      <c r="H17" s="379"/>
    </row>
    <row r="18" spans="1:13" ht="15" customHeight="1" x14ac:dyDescent="0.25">
      <c r="B18" s="77" t="s">
        <v>582</v>
      </c>
      <c r="C18" s="155" t="s">
        <v>588</v>
      </c>
      <c r="D18" s="316" t="str">
        <f>IFERROR('INFORMAÇÃO FINANCEIRA'!C48/'INFORMAÇÃO FINANCEIRA'!C63,"")</f>
        <v/>
      </c>
      <c r="E18" s="317" t="str">
        <f>IFERROR('INFORMAÇÃO FINANCEIRA'!D48/'INFORMAÇÃO FINANCEIRA'!D63,"")</f>
        <v/>
      </c>
      <c r="F18" s="317" t="str">
        <f>IFERROR('INFORMAÇÃO FINANCEIRA'!E48/'INFORMAÇÃO FINANCEIRA'!E63,"")</f>
        <v/>
      </c>
      <c r="G18" s="317" t="str">
        <f>IFERROR('INFORMAÇÃO FINANCEIRA'!F48/'INFORMAÇÃO FINANCEIRA'!F63,"")</f>
        <v/>
      </c>
      <c r="H18" s="318">
        <f>IFERROR('INFORMAÇÃO FINANCEIRA'!G48/'INFORMAÇÃO FINANCEIRA'!G63,"")</f>
        <v>-1.5856521149353158</v>
      </c>
    </row>
    <row r="19" spans="1:13" ht="15" customHeight="1" x14ac:dyDescent="0.25">
      <c r="B19" s="77" t="s">
        <v>583</v>
      </c>
      <c r="C19" s="155" t="s">
        <v>604</v>
      </c>
      <c r="D19" s="319" t="str">
        <f>IFERROR('INFORMAÇÃO FINANCEIRA'!C48/'INFORMAÇÃO FINANCEIRA'!C35,"")</f>
        <v/>
      </c>
      <c r="E19" s="320" t="str">
        <f>IFERROR('INFORMAÇÃO FINANCEIRA'!D48/'INFORMAÇÃO FINANCEIRA'!D35,"")</f>
        <v/>
      </c>
      <c r="F19" s="320" t="str">
        <f>IFERROR('INFORMAÇÃO FINANCEIRA'!E48/'INFORMAÇÃO FINANCEIRA'!E35,"")</f>
        <v/>
      </c>
      <c r="G19" s="320" t="str">
        <f>IFERROR('INFORMAÇÃO FINANCEIRA'!F48/'INFORMAÇÃO FINANCEIRA'!F35,"")</f>
        <v/>
      </c>
      <c r="H19" s="321">
        <f>IFERROR('INFORMAÇÃO FINANCEIRA'!G48/'INFORMAÇÃO FINANCEIRA'!G35,"")</f>
        <v>3.9207639188367569</v>
      </c>
    </row>
    <row r="20" spans="1:13" ht="15" customHeight="1" x14ac:dyDescent="0.25">
      <c r="B20" s="77" t="s">
        <v>584</v>
      </c>
      <c r="C20" s="155" t="s">
        <v>605</v>
      </c>
      <c r="D20" s="319" t="str">
        <f>IFERROR('INFORMAÇÃO FINANCEIRA'!C63/'INFORMAÇÃO FINANCEIRA'!C35,"")</f>
        <v/>
      </c>
      <c r="E20" s="320" t="str">
        <f>IFERROR('INFORMAÇÃO FINANCEIRA'!D63/'INFORMAÇÃO FINANCEIRA'!D35,"")</f>
        <v/>
      </c>
      <c r="F20" s="320" t="str">
        <f>IFERROR('INFORMAÇÃO FINANCEIRA'!E63/'INFORMAÇÃO FINANCEIRA'!E35,"")</f>
        <v/>
      </c>
      <c r="G20" s="320" t="str">
        <f>IFERROR('INFORMAÇÃO FINANCEIRA'!F63/'INFORMAÇÃO FINANCEIRA'!F35,"")</f>
        <v/>
      </c>
      <c r="H20" s="321">
        <f>IFERROR('INFORMAÇÃO FINANCEIRA'!G63/'INFORMAÇÃO FINANCEIRA'!G35,"")</f>
        <v>-2.4726507674078926</v>
      </c>
    </row>
    <row r="21" spans="1:13" ht="15" customHeight="1" x14ac:dyDescent="0.25">
      <c r="B21" s="77" t="s">
        <v>617</v>
      </c>
      <c r="C21" s="155" t="s">
        <v>616</v>
      </c>
      <c r="D21" s="316" t="str">
        <f>IFERROR(('INFORMAÇÃO FINANCEIRA'!C52+'INFORMAÇÃO FINANCEIRA'!C58-'INFORMAÇÃO FINANCEIRA'!C33)/'INFORMAÇÃO FINANCEIRA'!C101,"")</f>
        <v/>
      </c>
      <c r="E21" s="317" t="str">
        <f>IFERROR(('INFORMAÇÃO FINANCEIRA'!D52+'INFORMAÇÃO FINANCEIRA'!D58-'INFORMAÇÃO FINANCEIRA'!D33)/'INFORMAÇÃO FINANCEIRA'!D101,"")</f>
        <v/>
      </c>
      <c r="F21" s="317" t="str">
        <f>IFERROR(('INFORMAÇÃO FINANCEIRA'!E52+'INFORMAÇÃO FINANCEIRA'!E58-'INFORMAÇÃO FINANCEIRA'!E33)/'INFORMAÇÃO FINANCEIRA'!E101,"")</f>
        <v/>
      </c>
      <c r="G21" s="317" t="str">
        <f>IFERROR(('INFORMAÇÃO FINANCEIRA'!F52+'INFORMAÇÃO FINANCEIRA'!F58-'INFORMAÇÃO FINANCEIRA'!F33)/'INFORMAÇÃO FINANCEIRA'!F101,"")</f>
        <v/>
      </c>
      <c r="H21" s="318">
        <f>IFERROR(('INFORMAÇÃO FINANCEIRA'!G52+'INFORMAÇÃO FINANCEIRA'!G58-'INFORMAÇÃO FINANCEIRA'!G33)/'INFORMAÇÃO FINANCEIRA'!G101,"")</f>
        <v>-0.5369226667764937</v>
      </c>
    </row>
    <row r="22" spans="1:13" ht="15" customHeight="1" x14ac:dyDescent="0.25">
      <c r="B22" s="77" t="s">
        <v>585</v>
      </c>
      <c r="C22" s="155" t="s">
        <v>589</v>
      </c>
      <c r="D22" s="319" t="str">
        <f>IFERROR('INFORMAÇÃO FINANCEIRA'!C56/'INFORMAÇÃO FINANCEIRA'!C63,"")</f>
        <v/>
      </c>
      <c r="E22" s="320" t="str">
        <f>IFERROR('INFORMAÇÃO FINANCEIRA'!D56/'INFORMAÇÃO FINANCEIRA'!D63,"")</f>
        <v/>
      </c>
      <c r="F22" s="320" t="str">
        <f>IFERROR('INFORMAÇÃO FINANCEIRA'!E56/'INFORMAÇÃO FINANCEIRA'!E63,"")</f>
        <v/>
      </c>
      <c r="G22" s="320" t="str">
        <f>IFERROR('INFORMAÇÃO FINANCEIRA'!F56/'INFORMAÇÃO FINANCEIRA'!F63,"")</f>
        <v/>
      </c>
      <c r="H22" s="321">
        <f>IFERROR('INFORMAÇÃO FINANCEIRA'!G56/'INFORMAÇÃO FINANCEIRA'!G63,"")</f>
        <v>1</v>
      </c>
    </row>
    <row r="23" spans="1:13" ht="15" customHeight="1" x14ac:dyDescent="0.25">
      <c r="B23" s="78" t="s">
        <v>635</v>
      </c>
      <c r="C23" s="155" t="s">
        <v>634</v>
      </c>
      <c r="D23" s="319" t="str">
        <f>IFERROR('INFORMAÇÃO FINANCEIRA'!C52/'INFORMAÇÃO FINANCEIRA'!C35,"")</f>
        <v/>
      </c>
      <c r="E23" s="320" t="str">
        <f>IFERROR('INFORMAÇÃO FINANCEIRA'!D52/'INFORMAÇÃO FINANCEIRA'!D35,"")</f>
        <v/>
      </c>
      <c r="F23" s="320" t="str">
        <f>IFERROR('INFORMAÇÃO FINANCEIRA'!E52/'INFORMAÇÃO FINANCEIRA'!E35,"")</f>
        <v/>
      </c>
      <c r="G23" s="320" t="str">
        <f>IFERROR('INFORMAÇÃO FINANCEIRA'!F52/'INFORMAÇÃO FINANCEIRA'!F35,"")</f>
        <v/>
      </c>
      <c r="H23" s="321">
        <f>IFERROR('INFORMAÇÃO FINANCEIRA'!G52/'INFORMAÇÃO FINANCEIRA'!G35,"")</f>
        <v>0</v>
      </c>
    </row>
    <row r="24" spans="1:13" ht="15" customHeight="1" x14ac:dyDescent="0.25">
      <c r="B24" s="77" t="s">
        <v>586</v>
      </c>
      <c r="C24" s="155" t="s">
        <v>618</v>
      </c>
      <c r="D24" s="319" t="str">
        <f>IFERROR(('INFORMAÇÃO FINANCEIRA'!C48+'INFORMAÇÃO FINANCEIRA'!C50)/'INFORMAÇÃO FINANCEIRA'!C16,"")</f>
        <v/>
      </c>
      <c r="E24" s="320" t="str">
        <f>IFERROR(('INFORMAÇÃO FINANCEIRA'!D48+'INFORMAÇÃO FINANCEIRA'!D50)/'INFORMAÇÃO FINANCEIRA'!D16,"")</f>
        <v/>
      </c>
      <c r="F24" s="320" t="str">
        <f>IFERROR(('INFORMAÇÃO FINANCEIRA'!E48+'INFORMAÇÃO FINANCEIRA'!E50)/'INFORMAÇÃO FINANCEIRA'!E16,"")</f>
        <v/>
      </c>
      <c r="G24" s="320" t="str">
        <f>IFERROR(('INFORMAÇÃO FINANCEIRA'!F48+'INFORMAÇÃO FINANCEIRA'!F50)/'INFORMAÇÃO FINANCEIRA'!F16,"")</f>
        <v/>
      </c>
      <c r="H24" s="321">
        <f>IFERROR(('INFORMAÇÃO FINANCEIRA'!G48+'INFORMAÇÃO FINANCEIRA'!G50)/'INFORMAÇÃO FINANCEIRA'!G16,"")</f>
        <v>-97.868395992420176</v>
      </c>
    </row>
    <row r="25" spans="1:13" ht="15" customHeight="1" x14ac:dyDescent="0.25">
      <c r="B25" s="77" t="s">
        <v>587</v>
      </c>
      <c r="C25" s="155" t="s">
        <v>619</v>
      </c>
      <c r="D25" s="319" t="str">
        <f>IFERROR('INFORMAÇÃO FINANCEIRA'!C48/('INFORMAÇÃO FINANCEIRA'!C48+'INFORMAÇÃO FINANCEIRA'!C50),"")</f>
        <v/>
      </c>
      <c r="E25" s="320" t="str">
        <f>IFERROR('INFORMAÇÃO FINANCEIRA'!D48/('INFORMAÇÃO FINANCEIRA'!D48+'INFORMAÇÃO FINANCEIRA'!D50),"")</f>
        <v/>
      </c>
      <c r="F25" s="320" t="str">
        <f>IFERROR('INFORMAÇÃO FINANCEIRA'!E48/('INFORMAÇÃO FINANCEIRA'!E48+'INFORMAÇÃO FINANCEIRA'!E50),"")</f>
        <v/>
      </c>
      <c r="G25" s="320" t="str">
        <f>IFERROR('INFORMAÇÃO FINANCEIRA'!F48/('INFORMAÇÃO FINANCEIRA'!F48+'INFORMAÇÃO FINANCEIRA'!F50),"")</f>
        <v/>
      </c>
      <c r="H25" s="321">
        <f>IFERROR('INFORMAÇÃO FINANCEIRA'!G48/('INFORMAÇÃO FINANCEIRA'!G48+'INFORMAÇÃO FINANCEIRA'!G50),"")</f>
        <v>1</v>
      </c>
    </row>
    <row r="26" spans="1:13" s="57" customFormat="1" ht="15" customHeight="1" x14ac:dyDescent="0.25">
      <c r="A26" s="3"/>
      <c r="B26" s="4"/>
      <c r="C26" s="4"/>
      <c r="D26" s="3"/>
      <c r="E26" s="3"/>
      <c r="F26" s="3"/>
      <c r="G26" s="3"/>
      <c r="H26" s="3"/>
      <c r="I26" s="3"/>
      <c r="J26" s="3"/>
      <c r="K26" s="3"/>
      <c r="L26" s="3"/>
      <c r="M26" s="3"/>
    </row>
    <row r="27" spans="1:13" ht="21" customHeight="1" x14ac:dyDescent="0.25">
      <c r="B27" s="378" t="s">
        <v>590</v>
      </c>
      <c r="C27" s="548"/>
      <c r="D27" s="379"/>
      <c r="E27" s="379"/>
      <c r="F27" s="379"/>
      <c r="G27" s="379"/>
      <c r="H27" s="379"/>
    </row>
    <row r="28" spans="1:13" ht="15" customHeight="1" x14ac:dyDescent="0.25">
      <c r="B28" s="77" t="s">
        <v>591</v>
      </c>
      <c r="C28" s="155" t="s">
        <v>595</v>
      </c>
      <c r="D28" s="322" t="str">
        <f>IFERROR(('INFORMAÇÃO FINANCEIRA'!C30/'INFORMAÇÃO FINANCEIRA'!C74)*365,"")</f>
        <v/>
      </c>
      <c r="E28" s="323" t="str">
        <f>IFERROR(('INFORMAÇÃO FINANCEIRA'!D30/'INFORMAÇÃO FINANCEIRA'!D74)*365,"")</f>
        <v/>
      </c>
      <c r="F28" s="323" t="str">
        <f>IFERROR(('INFORMAÇÃO FINANCEIRA'!E30/'INFORMAÇÃO FINANCEIRA'!E74)*365,"")</f>
        <v/>
      </c>
      <c r="G28" s="323" t="str">
        <f>IFERROR(('INFORMAÇÃO FINANCEIRA'!F30/'INFORMAÇÃO FINANCEIRA'!F74)*365,"")</f>
        <v/>
      </c>
      <c r="H28" s="324">
        <f>IFERROR(('INFORMAÇÃO FINANCEIRA'!G30/'INFORMAÇÃO FINANCEIRA'!G74)*365,"")</f>
        <v>365</v>
      </c>
    </row>
    <row r="29" spans="1:13" ht="15" customHeight="1" x14ac:dyDescent="0.25">
      <c r="B29" s="77" t="s">
        <v>592</v>
      </c>
      <c r="C29" s="155" t="s">
        <v>620</v>
      </c>
      <c r="D29" s="322" t="s">
        <v>621</v>
      </c>
      <c r="E29" s="323" t="str">
        <f>IFERROR(((('INFORMAÇÃO FINANCEIRA'!C57+'INFORMAÇÃO FINANCEIRA'!D57)/2)/((-'INFORMAÇÃO FINANCEIRA'!D75-'INFORMAÇÃO FINANCEIRA'!C28+'INFORMAÇÃO FINANCEIRA'!D28)-'INFORMAÇÃO FINANCEIRA'!D77))*365,"")</f>
        <v/>
      </c>
      <c r="F29" s="323" t="str">
        <f>IFERROR(((('INFORMAÇÃO FINANCEIRA'!D57+'INFORMAÇÃO FINANCEIRA'!E57)/2)/((-'INFORMAÇÃO FINANCEIRA'!E75-'INFORMAÇÃO FINANCEIRA'!D28+'INFORMAÇÃO FINANCEIRA'!E28)-'INFORMAÇÃO FINANCEIRA'!E77))*365,"")</f>
        <v/>
      </c>
      <c r="G29" s="323" t="str">
        <f>IFERROR(((('INFORMAÇÃO FINANCEIRA'!E57+'INFORMAÇÃO FINANCEIRA'!F57)/2)/((-'INFORMAÇÃO FINANCEIRA'!F75-'INFORMAÇÃO FINANCEIRA'!E28+'INFORMAÇÃO FINANCEIRA'!F28)-'INFORMAÇÃO FINANCEIRA'!F77))*365,"")</f>
        <v/>
      </c>
      <c r="H29" s="324">
        <f>IFERROR(((('INFORMAÇÃO FINANCEIRA'!F57+'INFORMAÇÃO FINANCEIRA'!G57)/2)/((-'INFORMAÇÃO FINANCEIRA'!G75-'INFORMAÇÃO FINANCEIRA'!F28+'INFORMAÇÃO FINANCEIRA'!G28)-'INFORMAÇÃO FINANCEIRA'!G77))*365,"")</f>
        <v>37.060064223164723</v>
      </c>
    </row>
    <row r="30" spans="1:13" ht="15" customHeight="1" x14ac:dyDescent="0.25">
      <c r="B30" s="77" t="s">
        <v>593</v>
      </c>
      <c r="C30" s="155" t="s">
        <v>622</v>
      </c>
      <c r="D30" s="322" t="s">
        <v>621</v>
      </c>
      <c r="E30" s="323" t="str">
        <f>IFERROR(((('INFORMAÇÃO FINANCEIRA'!C28+'INFORMAÇÃO FINANCEIRA'!D28)/2)/-'INFORMAÇÃO FINANCEIRA'!D75)*365,"")</f>
        <v/>
      </c>
      <c r="F30" s="323" t="str">
        <f>IFERROR(((('INFORMAÇÃO FINANCEIRA'!D28+'INFORMAÇÃO FINANCEIRA'!E28)/2)/-'INFORMAÇÃO FINANCEIRA'!E75)*365,"")</f>
        <v/>
      </c>
      <c r="G30" s="323" t="str">
        <f>IFERROR(((('INFORMAÇÃO FINANCEIRA'!E28+'INFORMAÇÃO FINANCEIRA'!F28)/2)/-'INFORMAÇÃO FINANCEIRA'!F75)*365,"")</f>
        <v/>
      </c>
      <c r="H30" s="324" t="str">
        <f>IFERROR(((('INFORMAÇÃO FINANCEIRA'!F28+'INFORMAÇÃO FINANCEIRA'!G28)/2)/-'INFORMAÇÃO FINANCEIRA'!G75)*365,"")</f>
        <v/>
      </c>
    </row>
    <row r="31" spans="1:13" ht="15" customHeight="1" x14ac:dyDescent="0.25">
      <c r="B31" s="77" t="s">
        <v>594</v>
      </c>
      <c r="C31" s="155" t="s">
        <v>623</v>
      </c>
      <c r="D31" s="316" t="str">
        <f>IFERROR(('INFORMAÇÃO FINANCEIRA'!C74/'INFORMAÇÃO FINANCEIRA'!C35),"")</f>
        <v/>
      </c>
      <c r="E31" s="317" t="str">
        <f>IFERROR(('INFORMAÇÃO FINANCEIRA'!D74/'INFORMAÇÃO FINANCEIRA'!D35),"")</f>
        <v/>
      </c>
      <c r="F31" s="317" t="str">
        <f>IFERROR(('INFORMAÇÃO FINANCEIRA'!E74/'INFORMAÇÃO FINANCEIRA'!E35),"")</f>
        <v/>
      </c>
      <c r="G31" s="317" t="str">
        <f>IFERROR(('INFORMAÇÃO FINANCEIRA'!F74/'INFORMAÇÃO FINANCEIRA'!F35),"")</f>
        <v/>
      </c>
      <c r="H31" s="318">
        <f>IFERROR(('INFORMAÇÃO FINANCEIRA'!G74/'INFORMAÇÃO FINANCEIRA'!G35),"")</f>
        <v>-0.4481131820126194</v>
      </c>
    </row>
    <row r="32" spans="1:13" s="57" customFormat="1" ht="15" customHeight="1" x14ac:dyDescent="0.25">
      <c r="A32" s="3"/>
      <c r="B32" s="4"/>
      <c r="C32" s="4"/>
      <c r="D32" s="3"/>
      <c r="E32" s="3"/>
      <c r="F32" s="3"/>
      <c r="G32" s="3"/>
      <c r="H32" s="3"/>
      <c r="I32" s="3"/>
      <c r="J32" s="3"/>
      <c r="K32" s="3"/>
      <c r="L32" s="3"/>
      <c r="M32" s="3"/>
    </row>
    <row r="33" spans="1:13" ht="21" customHeight="1" x14ac:dyDescent="0.25">
      <c r="B33" s="378" t="s">
        <v>596</v>
      </c>
      <c r="C33" s="548"/>
      <c r="D33" s="379"/>
      <c r="E33" s="379"/>
      <c r="F33" s="379"/>
      <c r="G33" s="379"/>
      <c r="H33" s="379"/>
    </row>
    <row r="34" spans="1:13" ht="15" customHeight="1" x14ac:dyDescent="0.25">
      <c r="B34" s="77" t="s">
        <v>597</v>
      </c>
      <c r="C34" s="155" t="s">
        <v>628</v>
      </c>
      <c r="D34" s="319" t="str">
        <f>IFERROR('INFORMAÇÃO FINANCEIRA'!C87/'INFORMAÇÃO FINANCEIRA'!C35,"")</f>
        <v/>
      </c>
      <c r="E34" s="320" t="str">
        <f>IFERROR('INFORMAÇÃO FINANCEIRA'!D87/'INFORMAÇÃO FINANCEIRA'!D35,"")</f>
        <v/>
      </c>
      <c r="F34" s="320" t="str">
        <f>IFERROR('INFORMAÇÃO FINANCEIRA'!E87/'INFORMAÇÃO FINANCEIRA'!E35,"")</f>
        <v/>
      </c>
      <c r="G34" s="320" t="str">
        <f>IFERROR('INFORMAÇÃO FINANCEIRA'!F87/'INFORMAÇÃO FINANCEIRA'!F35,"")</f>
        <v/>
      </c>
      <c r="H34" s="321">
        <f>IFERROR('INFORMAÇÃO FINANCEIRA'!G87/'INFORMAÇÃO FINANCEIRA'!G35,"")</f>
        <v>3.9207639188367569</v>
      </c>
    </row>
    <row r="35" spans="1:13" ht="15" customHeight="1" x14ac:dyDescent="0.25">
      <c r="B35" s="77" t="s">
        <v>598</v>
      </c>
      <c r="C35" s="155" t="s">
        <v>625</v>
      </c>
      <c r="D35" s="319" t="str">
        <f>IFERROR('INFORMAÇÃO FINANCEIRA'!C103/'INFORMAÇÃO FINANCEIRA'!C35,"")</f>
        <v/>
      </c>
      <c r="E35" s="320" t="str">
        <f>IFERROR('INFORMAÇÃO FINANCEIRA'!D103/'INFORMAÇÃO FINANCEIRA'!D35,"")</f>
        <v/>
      </c>
      <c r="F35" s="320" t="str">
        <f>IFERROR('INFORMAÇÃO FINANCEIRA'!E103/'INFORMAÇÃO FINANCEIRA'!E35,"")</f>
        <v/>
      </c>
      <c r="G35" s="320" t="str">
        <f>IFERROR('INFORMAÇÃO FINANCEIRA'!F103/'INFORMAÇÃO FINANCEIRA'!F35,"")</f>
        <v/>
      </c>
      <c r="H35" s="321">
        <f>IFERROR('INFORMAÇÃO FINANCEIRA'!G103/'INFORMAÇÃO FINANCEIRA'!G35,"")</f>
        <v>3.9084115743781358</v>
      </c>
    </row>
    <row r="36" spans="1:13" ht="15" customHeight="1" x14ac:dyDescent="0.25">
      <c r="B36" s="77" t="s">
        <v>599</v>
      </c>
      <c r="C36" s="155" t="s">
        <v>626</v>
      </c>
      <c r="D36" s="319" t="str">
        <f>IFERROR('INFORMAÇÃO FINANCEIRA'!C85/('INFORMAÇÃO FINANCEIRA'!C48+'INFORMAÇÃO FINANCEIRA'!C50),"")</f>
        <v/>
      </c>
      <c r="E36" s="320" t="str">
        <f>IFERROR('INFORMAÇÃO FINANCEIRA'!D85/('INFORMAÇÃO FINANCEIRA'!D48+'INFORMAÇÃO FINANCEIRA'!D50),"")</f>
        <v/>
      </c>
      <c r="F36" s="320" t="str">
        <f>IFERROR('INFORMAÇÃO FINANCEIRA'!E85/('INFORMAÇÃO FINANCEIRA'!E48+'INFORMAÇÃO FINANCEIRA'!E50),"")</f>
        <v/>
      </c>
      <c r="G36" s="320" t="str">
        <f>IFERROR('INFORMAÇÃO FINANCEIRA'!F85/('INFORMAÇÃO FINANCEIRA'!F48+'INFORMAÇÃO FINANCEIRA'!F50),"")</f>
        <v/>
      </c>
      <c r="H36" s="321">
        <f>IFERROR('INFORMAÇÃO FINANCEIRA'!G85/('INFORMAÇÃO FINANCEIRA'!G48+'INFORMAÇÃO FINANCEIRA'!G50),"")</f>
        <v>1</v>
      </c>
    </row>
    <row r="37" spans="1:13" ht="15" customHeight="1" x14ac:dyDescent="0.25">
      <c r="B37" s="77" t="s">
        <v>600</v>
      </c>
      <c r="C37" s="155" t="s">
        <v>629</v>
      </c>
      <c r="D37" s="319" t="s">
        <v>621</v>
      </c>
      <c r="E37" s="320" t="str">
        <f>IFERROR('INFORMAÇÃO FINANCEIRA'!D87/'INFORMAÇÃO FINANCEIRA'!C35,"")</f>
        <v/>
      </c>
      <c r="F37" s="320" t="str">
        <f>IFERROR('INFORMAÇÃO FINANCEIRA'!E87/'INFORMAÇÃO FINANCEIRA'!D35,"")</f>
        <v/>
      </c>
      <c r="G37" s="320" t="str">
        <f>IFERROR('INFORMAÇÃO FINANCEIRA'!F87/'INFORMAÇÃO FINANCEIRA'!E35,"")</f>
        <v/>
      </c>
      <c r="H37" s="321" t="str">
        <f>IFERROR('INFORMAÇÃO FINANCEIRA'!G87/'INFORMAÇÃO FINANCEIRA'!F35,"")</f>
        <v/>
      </c>
    </row>
    <row r="38" spans="1:13" ht="15" customHeight="1" x14ac:dyDescent="0.25">
      <c r="B38" s="77" t="s">
        <v>630</v>
      </c>
      <c r="C38" s="155" t="s">
        <v>631</v>
      </c>
      <c r="D38" s="319" t="str">
        <f>IFERROR(('INFORMAÇÃO FINANCEIRA'!C98+'INFORMAÇÃO FINANCEIRA'!C99)/'INFORMAÇÃO FINANCEIRA'!C98,"")</f>
        <v/>
      </c>
      <c r="E38" s="320" t="str">
        <f>IFERROR(('INFORMAÇÃO FINANCEIRA'!D98+'INFORMAÇÃO FINANCEIRA'!D99)/'INFORMAÇÃO FINANCEIRA'!D98,"")</f>
        <v/>
      </c>
      <c r="F38" s="320" t="str">
        <f>IFERROR(('INFORMAÇÃO FINANCEIRA'!E98+'INFORMAÇÃO FINANCEIRA'!E99)/'INFORMAÇÃO FINANCEIRA'!E98,"")</f>
        <v/>
      </c>
      <c r="G38" s="320" t="str">
        <f>IFERROR(('INFORMAÇÃO FINANCEIRA'!F98+'INFORMAÇÃO FINANCEIRA'!F99)/'INFORMAÇÃO FINANCEIRA'!F98,"")</f>
        <v/>
      </c>
      <c r="H38" s="321">
        <f>IFERROR(('INFORMAÇÃO FINANCEIRA'!G98+'INFORMAÇÃO FINANCEIRA'!G99)/'INFORMAÇÃO FINANCEIRA'!G98,"")</f>
        <v>1</v>
      </c>
    </row>
    <row r="39" spans="1:13" ht="15" customHeight="1" x14ac:dyDescent="0.25">
      <c r="B39" s="77" t="s">
        <v>601</v>
      </c>
      <c r="C39" s="155" t="s">
        <v>627</v>
      </c>
      <c r="D39" s="319" t="str">
        <f>IFERROR('INFORMAÇÃO FINANCEIRA'!C103/'INFORMAÇÃO FINANCEIRA'!C74,"")</f>
        <v/>
      </c>
      <c r="E39" s="320" t="str">
        <f>IFERROR('INFORMAÇÃO FINANCEIRA'!D103/'INFORMAÇÃO FINANCEIRA'!D74,"")</f>
        <v/>
      </c>
      <c r="F39" s="320" t="str">
        <f>IFERROR('INFORMAÇÃO FINANCEIRA'!E103/'INFORMAÇÃO FINANCEIRA'!E74,"")</f>
        <v/>
      </c>
      <c r="G39" s="320" t="str">
        <f>IFERROR('INFORMAÇÃO FINANCEIRA'!F103/'INFORMAÇÃO FINANCEIRA'!F74,"")</f>
        <v/>
      </c>
      <c r="H39" s="321">
        <f>IFERROR('INFORMAÇÃO FINANCEIRA'!G103/'INFORMAÇÃO FINANCEIRA'!G74,"")</f>
        <v>-8.7219294840294843</v>
      </c>
    </row>
    <row r="40" spans="1:13" s="57" customFormat="1" ht="15" customHeight="1" x14ac:dyDescent="0.25">
      <c r="A40" s="3"/>
      <c r="B40" s="4"/>
      <c r="C40" s="4"/>
      <c r="D40" s="3"/>
      <c r="E40" s="3"/>
      <c r="F40" s="3"/>
      <c r="G40" s="3"/>
      <c r="H40" s="3"/>
      <c r="I40" s="3"/>
      <c r="J40" s="3"/>
      <c r="K40" s="3"/>
      <c r="L40" s="3"/>
      <c r="M40" s="3"/>
    </row>
    <row r="41" spans="1:13" ht="21" customHeight="1" x14ac:dyDescent="0.25">
      <c r="B41" s="378" t="s">
        <v>606</v>
      </c>
      <c r="C41" s="548"/>
      <c r="D41" s="379"/>
      <c r="E41" s="379"/>
      <c r="F41" s="379"/>
      <c r="G41" s="379"/>
      <c r="H41" s="379"/>
    </row>
    <row r="42" spans="1:13" ht="15" customHeight="1" x14ac:dyDescent="0.25">
      <c r="B42" s="77" t="s">
        <v>607</v>
      </c>
      <c r="C42" s="155" t="s">
        <v>612</v>
      </c>
      <c r="D42" s="319" t="str">
        <f>IFERROR('INFORMAÇÃO FINANCEIRA'!C87/'INFORMAÇÃO FINANCEIRA'!C74,"")</f>
        <v/>
      </c>
      <c r="E42" s="320" t="str">
        <f>IFERROR('INFORMAÇÃO FINANCEIRA'!D87/'INFORMAÇÃO FINANCEIRA'!D74,"")</f>
        <v/>
      </c>
      <c r="F42" s="320" t="str">
        <f>IFERROR('INFORMAÇÃO FINANCEIRA'!E87/'INFORMAÇÃO FINANCEIRA'!E74,"")</f>
        <v/>
      </c>
      <c r="G42" s="320" t="str">
        <f>IFERROR('INFORMAÇÃO FINANCEIRA'!F87/'INFORMAÇÃO FINANCEIRA'!F74,"")</f>
        <v/>
      </c>
      <c r="H42" s="321">
        <f>IFERROR('INFORMAÇÃO FINANCEIRA'!G87/'INFORMAÇÃO FINANCEIRA'!G74,"")</f>
        <v>-8.7494947174447173</v>
      </c>
    </row>
    <row r="43" spans="1:13" ht="15" customHeight="1" x14ac:dyDescent="0.25">
      <c r="B43" s="77" t="s">
        <v>608</v>
      </c>
      <c r="C43" s="155" t="s">
        <v>613</v>
      </c>
      <c r="D43" s="319" t="str">
        <f>IFERROR('INFORMAÇÃO FINANCEIRA'!C87/'INFORMAÇÃO FINANCEIRA'!C48,"")</f>
        <v/>
      </c>
      <c r="E43" s="320" t="str">
        <f>IFERROR('INFORMAÇÃO FINANCEIRA'!D87/'INFORMAÇÃO FINANCEIRA'!D48,"")</f>
        <v/>
      </c>
      <c r="F43" s="320" t="str">
        <f>IFERROR('INFORMAÇÃO FINANCEIRA'!E87/'INFORMAÇÃO FINANCEIRA'!E48,"")</f>
        <v/>
      </c>
      <c r="G43" s="320" t="str">
        <f>IFERROR('INFORMAÇÃO FINANCEIRA'!F87/'INFORMAÇÃO FINANCEIRA'!F48,"")</f>
        <v/>
      </c>
      <c r="H43" s="321">
        <f>IFERROR('INFORMAÇÃO FINANCEIRA'!G87/'INFORMAÇÃO FINANCEIRA'!G48,"")</f>
        <v>1</v>
      </c>
    </row>
    <row r="44" spans="1:13" ht="15" customHeight="1" x14ac:dyDescent="0.25">
      <c r="B44" s="77" t="s">
        <v>609</v>
      </c>
      <c r="C44" s="155" t="s">
        <v>615</v>
      </c>
      <c r="D44" s="319" t="str">
        <f>IFERROR('INFORMAÇÃO FINANCEIRA'!C87/('INFORMAÇÃO FINANCEIRA'!C48+'INFORMAÇÃO FINANCEIRA'!C50),"")</f>
        <v/>
      </c>
      <c r="E44" s="320" t="str">
        <f>IFERROR('INFORMAÇÃO FINANCEIRA'!D87/('INFORMAÇÃO FINANCEIRA'!D48+'INFORMAÇÃO FINANCEIRA'!D50),"")</f>
        <v/>
      </c>
      <c r="F44" s="320" t="str">
        <f>IFERROR('INFORMAÇÃO FINANCEIRA'!E87/('INFORMAÇÃO FINANCEIRA'!E48+'INFORMAÇÃO FINANCEIRA'!E50),"")</f>
        <v/>
      </c>
      <c r="G44" s="320" t="str">
        <f>IFERROR('INFORMAÇÃO FINANCEIRA'!F87/('INFORMAÇÃO FINANCEIRA'!F48+'INFORMAÇÃO FINANCEIRA'!F50),"")</f>
        <v/>
      </c>
      <c r="H44" s="321">
        <f>IFERROR('INFORMAÇÃO FINANCEIRA'!G87/('INFORMAÇÃO FINANCEIRA'!G48+'INFORMAÇÃO FINANCEIRA'!G50),"")</f>
        <v>1</v>
      </c>
    </row>
    <row r="45" spans="1:13" ht="15" customHeight="1" x14ac:dyDescent="0.25">
      <c r="B45" s="77" t="s">
        <v>611</v>
      </c>
      <c r="C45" s="155" t="s">
        <v>624</v>
      </c>
      <c r="D45" s="319" t="str">
        <f>IFERROR(('INFORMAÇÃO FINANCEIRA'!C48+'INFORMAÇÃO FINANCEIRA'!C50)/'INFORMAÇÃO FINANCEIRA'!C16,"")</f>
        <v/>
      </c>
      <c r="E45" s="320" t="str">
        <f>IFERROR(('INFORMAÇÃO FINANCEIRA'!D48+'INFORMAÇÃO FINANCEIRA'!D50)/'INFORMAÇÃO FINANCEIRA'!D16,"")</f>
        <v/>
      </c>
      <c r="F45" s="320" t="str">
        <f>IFERROR(('INFORMAÇÃO FINANCEIRA'!E48+'INFORMAÇÃO FINANCEIRA'!E50)/'INFORMAÇÃO FINANCEIRA'!E16,"")</f>
        <v/>
      </c>
      <c r="G45" s="320" t="str">
        <f>IFERROR(('INFORMAÇÃO FINANCEIRA'!F48+'INFORMAÇÃO FINANCEIRA'!F50)/'INFORMAÇÃO FINANCEIRA'!F16,"")</f>
        <v/>
      </c>
      <c r="H45" s="321">
        <f>IFERROR(('INFORMAÇÃO FINANCEIRA'!G48+'INFORMAÇÃO FINANCEIRA'!G50)/'INFORMAÇÃO FINANCEIRA'!G16,"")</f>
        <v>-97.868395992420176</v>
      </c>
    </row>
    <row r="46" spans="1:13" ht="15" customHeight="1" x14ac:dyDescent="0.25">
      <c r="B46" s="77" t="s">
        <v>610</v>
      </c>
      <c r="C46" s="155" t="s">
        <v>614</v>
      </c>
      <c r="D46" s="319" t="str">
        <f>IFERROR('INFORMAÇÃO FINANCEIRA'!C101/'INFORMAÇÃO FINANCEIRA'!C74,"")</f>
        <v/>
      </c>
      <c r="E46" s="320" t="str">
        <f>IFERROR('INFORMAÇÃO FINANCEIRA'!D101/'INFORMAÇÃO FINANCEIRA'!D74,"")</f>
        <v/>
      </c>
      <c r="F46" s="320" t="str">
        <f>IFERROR('INFORMAÇÃO FINANCEIRA'!E101/'INFORMAÇÃO FINANCEIRA'!E74,"")</f>
        <v/>
      </c>
      <c r="G46" s="320" t="str">
        <f>IFERROR('INFORMAÇÃO FINANCEIRA'!F101/'INFORMAÇÃO FINANCEIRA'!F74,"")</f>
        <v/>
      </c>
      <c r="H46" s="321">
        <f>IFERROR('INFORMAÇÃO FINANCEIRA'!G101/'INFORMAÇÃO FINANCEIRA'!G74,"")</f>
        <v>-8.7219294840294843</v>
      </c>
    </row>
    <row r="47" spans="1:13" ht="15" customHeight="1" x14ac:dyDescent="0.25">
      <c r="B47" s="77" t="s">
        <v>632</v>
      </c>
      <c r="C47" s="155" t="s">
        <v>633</v>
      </c>
      <c r="D47" s="319" t="str">
        <f>IFERROR('INFORMAÇÃO FINANCEIRA'!C87/'INFORMAÇÃO FINANCEIRA'!C74,"")</f>
        <v/>
      </c>
      <c r="E47" s="320" t="str">
        <f>IFERROR('INFORMAÇÃO FINANCEIRA'!D87/'INFORMAÇÃO FINANCEIRA'!D74,"")</f>
        <v/>
      </c>
      <c r="F47" s="320" t="str">
        <f>IFERROR('INFORMAÇÃO FINANCEIRA'!E87/'INFORMAÇÃO FINANCEIRA'!E74,"")</f>
        <v/>
      </c>
      <c r="G47" s="320" t="str">
        <f>IFERROR('INFORMAÇÃO FINANCEIRA'!F87/'INFORMAÇÃO FINANCEIRA'!F74,"")</f>
        <v/>
      </c>
      <c r="H47" s="321">
        <f>IFERROR('INFORMAÇÃO FINANCEIRA'!G87/'INFORMAÇÃO FINANCEIRA'!G74,"")</f>
        <v>-8.7494947174447173</v>
      </c>
    </row>
    <row r="48" spans="1:13" ht="15" customHeight="1" x14ac:dyDescent="0.25"/>
    <row r="49" ht="15" customHeight="1" x14ac:dyDescent="0.25"/>
    <row r="50" ht="15" customHeight="1" x14ac:dyDescent="0.25"/>
    <row r="51" ht="15" customHeight="1" x14ac:dyDescent="0.25"/>
  </sheetData>
  <sheetProtection algorithmName="SHA-512" hashValue="bpTAJ95EsVkDT3pY8BpqojBfoJJEeGYbOoD4KF8DaD0g2H0ykYBJddaG0Ftf4UuEN2/BDN/T+xsS9IJtftO0/g==" saltValue="fSOXPHz1nKZpE48ygnT4jg==" spinCount="100000" sheet="1" objects="1" scenarios="1" sort="0" autoFilter="0"/>
  <mergeCells count="6">
    <mergeCell ref="B17:H17"/>
    <mergeCell ref="B27:H27"/>
    <mergeCell ref="B33:H33"/>
    <mergeCell ref="B41:H41"/>
    <mergeCell ref="B8:H8"/>
    <mergeCell ref="B12:H12"/>
  </mergeCells>
  <hyperlinks>
    <hyperlink ref="B1" location="ÍNDICE!A1" display="BACK TO INDEX" xr:uid="{00000000-0004-0000-1C00-000000000000}"/>
  </hyperlinks>
  <pageMargins left="0.7" right="0.7" top="0.75" bottom="0.75" header="0.3" footer="0.3"/>
  <pageSetup scale="51" orientation="portrait" r:id="rId1"/>
  <colBreaks count="1" manualBreakCount="1">
    <brk id="9" min="1" max="50"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9" tint="-0.499984740745262"/>
  </sheetPr>
  <dimension ref="A1:O41"/>
  <sheetViews>
    <sheetView showGridLines="0" zoomScaleNormal="100" workbookViewId="0">
      <pane ySplit="1" topLeftCell="A8" activePane="bottomLeft" state="frozen"/>
      <selection activeCell="B1" sqref="B1:C1"/>
      <selection pane="bottomLeft" activeCell="I39" sqref="I39"/>
    </sheetView>
  </sheetViews>
  <sheetFormatPr defaultColWidth="0" defaultRowHeight="15" customHeight="1" zeroHeight="1" x14ac:dyDescent="0.25"/>
  <cols>
    <col min="1" max="1" width="1.140625" style="3" customWidth="1"/>
    <col min="2" max="2" width="46" style="4" bestFit="1" customWidth="1"/>
    <col min="3" max="3" width="33.85546875" style="3" customWidth="1"/>
    <col min="4" max="4" width="21.140625" style="3" customWidth="1"/>
    <col min="5" max="9" width="18.85546875" style="3" customWidth="1"/>
    <col min="10" max="10" width="1" style="3" customWidth="1"/>
    <col min="11" max="12" width="5" style="3" hidden="1" customWidth="1"/>
    <col min="13" max="15" width="9.140625" style="3" hidden="1" customWidth="1"/>
    <col min="16" max="16384" width="5" style="3" hidden="1"/>
  </cols>
  <sheetData>
    <row r="1" spans="1:10" ht="21" customHeight="1" x14ac:dyDescent="0.2">
      <c r="A1" s="2"/>
      <c r="B1" s="167" t="s">
        <v>29</v>
      </c>
      <c r="C1" s="2"/>
      <c r="D1" s="2"/>
      <c r="E1" s="2"/>
      <c r="F1" s="2"/>
      <c r="G1" s="2"/>
      <c r="H1" s="2"/>
      <c r="I1" s="2"/>
      <c r="J1" s="56"/>
    </row>
    <row r="2" spans="1:10" ht="15" customHeight="1" x14ac:dyDescent="0.2"/>
    <row r="3" spans="1:10" ht="15" customHeight="1" x14ac:dyDescent="0.25">
      <c r="C3" s="169" t="s">
        <v>37</v>
      </c>
      <c r="D3" s="186">
        <f>IF(COVER!E6&lt;&gt;"",COVER!E6,"")</f>
        <v>2021</v>
      </c>
    </row>
    <row r="4" spans="1:10" ht="15" customHeight="1" x14ac:dyDescent="0.2"/>
    <row r="5" spans="1:10" ht="20.25" customHeight="1" x14ac:dyDescent="0.2">
      <c r="B5" s="5" t="s">
        <v>4</v>
      </c>
      <c r="C5" s="549" t="str">
        <f>IF(COVER!E8&lt;&gt;"",COVER!E8,"")</f>
        <v>POWER BLOX AFRICA, S.A.</v>
      </c>
      <c r="D5" s="550"/>
      <c r="E5" s="550"/>
      <c r="F5" s="551"/>
    </row>
    <row r="6" spans="1:10" ht="15" customHeight="1" x14ac:dyDescent="0.2"/>
    <row r="7" spans="1:10" ht="15" customHeight="1" x14ac:dyDescent="0.2"/>
    <row r="8" spans="1:10" s="6" customFormat="1" ht="30.75" customHeight="1" x14ac:dyDescent="0.25">
      <c r="B8" s="376" t="s">
        <v>645</v>
      </c>
      <c r="C8" s="376"/>
      <c r="D8" s="376"/>
      <c r="E8" s="377"/>
      <c r="F8" s="377"/>
      <c r="G8" s="377"/>
      <c r="H8" s="377"/>
      <c r="I8" s="377"/>
    </row>
    <row r="9" spans="1:10" ht="15" customHeight="1" x14ac:dyDescent="0.25"/>
    <row r="10" spans="1:10" s="31" customFormat="1" ht="46.5" customHeight="1" x14ac:dyDescent="0.25">
      <c r="B10" s="554"/>
      <c r="C10" s="555"/>
      <c r="D10" s="555"/>
      <c r="E10" s="164">
        <f>IF(F10&lt;&gt;"",F10-1,"")</f>
        <v>2017</v>
      </c>
      <c r="F10" s="164">
        <f>IF(G10&lt;&gt;"",G10-1,"")</f>
        <v>2018</v>
      </c>
      <c r="G10" s="164">
        <f>IF(H10&lt;&gt;"",H10-1,"")</f>
        <v>2019</v>
      </c>
      <c r="H10" s="164">
        <f>IF(I10&lt;&gt;"",I10-1,"")</f>
        <v>2020</v>
      </c>
      <c r="I10" s="171">
        <f>$D$3</f>
        <v>2021</v>
      </c>
    </row>
    <row r="11" spans="1:10" ht="15" customHeight="1" x14ac:dyDescent="0.25">
      <c r="B11" s="327"/>
    </row>
    <row r="12" spans="1:10" ht="19.5" customHeight="1" x14ac:dyDescent="0.25">
      <c r="B12" s="552" t="s">
        <v>654</v>
      </c>
      <c r="C12" s="381"/>
      <c r="D12" s="553"/>
      <c r="E12" s="336">
        <f>'INFORMAÇÃO FINANCEIRA'!C74</f>
        <v>0</v>
      </c>
      <c r="F12" s="337">
        <f>'INFORMAÇÃO FINANCEIRA'!D74</f>
        <v>0</v>
      </c>
      <c r="G12" s="337">
        <f>'INFORMAÇÃO FINANCEIRA'!E74</f>
        <v>0</v>
      </c>
      <c r="H12" s="337">
        <f>'INFORMAÇÃO FINANCEIRA'!F74</f>
        <v>0</v>
      </c>
      <c r="I12" s="161">
        <f>'INFORMAÇÃO FINANCEIRA'!G74</f>
        <v>732600</v>
      </c>
    </row>
    <row r="13" spans="1:10" ht="19.5" customHeight="1" x14ac:dyDescent="0.25">
      <c r="B13" s="552" t="s">
        <v>124</v>
      </c>
      <c r="C13" s="381"/>
      <c r="D13" s="553"/>
      <c r="E13" s="336">
        <f>-'INFORMAÇÃO FINANCEIRA'!C75</f>
        <v>0</v>
      </c>
      <c r="F13" s="337">
        <f>-'INFORMAÇÃO FINANCEIRA'!D75</f>
        <v>0</v>
      </c>
      <c r="G13" s="337">
        <f>-'INFORMAÇÃO FINANCEIRA'!E75</f>
        <v>0</v>
      </c>
      <c r="H13" s="337">
        <f>-'INFORMAÇÃO FINANCEIRA'!F75</f>
        <v>0</v>
      </c>
      <c r="I13" s="161">
        <f>-'INFORMAÇÃO FINANCEIRA'!G75</f>
        <v>0</v>
      </c>
    </row>
    <row r="14" spans="1:10" ht="19.5" customHeight="1" x14ac:dyDescent="0.25">
      <c r="B14" s="552" t="s">
        <v>166</v>
      </c>
      <c r="C14" s="381"/>
      <c r="D14" s="553"/>
      <c r="E14" s="336">
        <f>E12-E13</f>
        <v>0</v>
      </c>
      <c r="F14" s="337">
        <f t="shared" ref="F14:I14" si="0">F12-F13</f>
        <v>0</v>
      </c>
      <c r="G14" s="337">
        <f t="shared" si="0"/>
        <v>0</v>
      </c>
      <c r="H14" s="337">
        <f t="shared" si="0"/>
        <v>0</v>
      </c>
      <c r="I14" s="161">
        <f t="shared" si="0"/>
        <v>732600</v>
      </c>
    </row>
    <row r="15" spans="1:10" ht="19.5" customHeight="1" x14ac:dyDescent="0.25">
      <c r="B15" s="552" t="s">
        <v>653</v>
      </c>
      <c r="C15" s="381"/>
      <c r="D15" s="553"/>
      <c r="E15" s="336">
        <f>-SUM('INFORMAÇÃO FINANCEIRA'!C75:C81)</f>
        <v>0</v>
      </c>
      <c r="F15" s="337">
        <f>-SUM('INFORMAÇÃO FINANCEIRA'!D75:D81)</f>
        <v>0</v>
      </c>
      <c r="G15" s="337">
        <f>-SUM('INFORMAÇÃO FINANCEIRA'!E75:E81)</f>
        <v>0</v>
      </c>
      <c r="H15" s="337">
        <f>-SUM('INFORMAÇÃO FINANCEIRA'!F75:F81)</f>
        <v>0</v>
      </c>
      <c r="I15" s="161">
        <f>-SUM('INFORMAÇÃO FINANCEIRA'!G75:G81)</f>
        <v>7122285.54</v>
      </c>
    </row>
    <row r="16" spans="1:10" ht="19.5" customHeight="1" x14ac:dyDescent="0.25">
      <c r="B16" s="552" t="s">
        <v>652</v>
      </c>
      <c r="C16" s="381"/>
      <c r="D16" s="553"/>
      <c r="E16" s="336">
        <f>-'INFORMAÇÃO FINANCEIRA'!C76</f>
        <v>0</v>
      </c>
      <c r="F16" s="337">
        <f>-'INFORMAÇÃO FINANCEIRA'!D76</f>
        <v>0</v>
      </c>
      <c r="G16" s="337">
        <f>-'INFORMAÇÃO FINANCEIRA'!E76</f>
        <v>0</v>
      </c>
      <c r="H16" s="337">
        <f>-'INFORMAÇÃO FINANCEIRA'!F76</f>
        <v>0</v>
      </c>
      <c r="I16" s="161">
        <f>-'INFORMAÇÃO FINANCEIRA'!G76</f>
        <v>4935151.17</v>
      </c>
    </row>
    <row r="17" spans="2:9" ht="19.5" customHeight="1" x14ac:dyDescent="0.25">
      <c r="B17" s="552" t="s">
        <v>131</v>
      </c>
      <c r="C17" s="381"/>
      <c r="D17" s="553"/>
      <c r="E17" s="336">
        <f>'INFORMAÇÃO FINANCEIRA'!C103</f>
        <v>0</v>
      </c>
      <c r="F17" s="337">
        <f>'INFORMAÇÃO FINANCEIRA'!D103</f>
        <v>0</v>
      </c>
      <c r="G17" s="337">
        <f>'INFORMAÇÃO FINANCEIRA'!E103</f>
        <v>0</v>
      </c>
      <c r="H17" s="337">
        <f>'INFORMAÇÃO FINANCEIRA'!F103</f>
        <v>0</v>
      </c>
      <c r="I17" s="161">
        <f>'INFORMAÇÃO FINANCEIRA'!G103</f>
        <v>-6389685.54</v>
      </c>
    </row>
    <row r="18" spans="2:9" ht="19.5" customHeight="1" x14ac:dyDescent="0.25">
      <c r="B18" s="552" t="s">
        <v>651</v>
      </c>
      <c r="C18" s="381"/>
      <c r="D18" s="553"/>
      <c r="E18" s="336">
        <f>'INFORMAÇÃO FINANCEIRA'!C105</f>
        <v>0</v>
      </c>
      <c r="F18" s="337">
        <f>'INFORMAÇÃO FINANCEIRA'!D105</f>
        <v>0</v>
      </c>
      <c r="G18" s="337">
        <f>'INFORMAÇÃO FINANCEIRA'!E105</f>
        <v>0</v>
      </c>
      <c r="H18" s="337">
        <f>'INFORMAÇÃO FINANCEIRA'!F105</f>
        <v>0</v>
      </c>
      <c r="I18" s="161">
        <f>'INFORMAÇÃO FINANCEIRA'!G105</f>
        <v>-20194.29</v>
      </c>
    </row>
    <row r="19" spans="2:9" ht="19.5" customHeight="1" x14ac:dyDescent="0.25">
      <c r="B19" s="552" t="s">
        <v>495</v>
      </c>
      <c r="C19" s="381"/>
      <c r="D19" s="553"/>
      <c r="E19" s="336">
        <f>'INFORMAÇÃO FINANCEIRA'!C108</f>
        <v>0</v>
      </c>
      <c r="F19" s="337">
        <f>'INFORMAÇÃO FINANCEIRA'!D108</f>
        <v>0</v>
      </c>
      <c r="G19" s="337">
        <f>'INFORMAÇÃO FINANCEIRA'!E108</f>
        <v>0</v>
      </c>
      <c r="H19" s="337">
        <f>'INFORMAÇÃO FINANCEIRA'!F108</f>
        <v>0</v>
      </c>
      <c r="I19" s="161">
        <f>'INFORMAÇÃO FINANCEIRA'!G108</f>
        <v>-6409879.8300000001</v>
      </c>
    </row>
    <row r="20" spans="2:9" ht="19.5" customHeight="1" x14ac:dyDescent="0.25">
      <c r="B20" s="552" t="s">
        <v>656</v>
      </c>
      <c r="C20" s="381"/>
      <c r="D20" s="553"/>
      <c r="E20" s="336">
        <f>'INFORMAÇÃO FINANCEIRA'!C35</f>
        <v>0</v>
      </c>
      <c r="F20" s="337">
        <f>'INFORMAÇÃO FINANCEIRA'!D35</f>
        <v>0</v>
      </c>
      <c r="G20" s="337">
        <f>'INFORMAÇÃO FINANCEIRA'!E35</f>
        <v>0</v>
      </c>
      <c r="H20" s="337">
        <f>'INFORMAÇÃO FINANCEIRA'!F35</f>
        <v>0</v>
      </c>
      <c r="I20" s="161">
        <f>'INFORMAÇÃO FINANCEIRA'!G35</f>
        <v>-1634854.83</v>
      </c>
    </row>
    <row r="21" spans="2:9" ht="19.5" customHeight="1" x14ac:dyDescent="0.25">
      <c r="B21" s="552" t="s">
        <v>657</v>
      </c>
      <c r="C21" s="381"/>
      <c r="D21" s="553"/>
      <c r="E21" s="336">
        <f>'INFORMAÇÃO FINANCEIRA'!C63</f>
        <v>0</v>
      </c>
      <c r="F21" s="337">
        <f>'INFORMAÇÃO FINANCEIRA'!D63</f>
        <v>0</v>
      </c>
      <c r="G21" s="337">
        <f>'INFORMAÇÃO FINANCEIRA'!E63</f>
        <v>0</v>
      </c>
      <c r="H21" s="337">
        <f>'INFORMAÇÃO FINANCEIRA'!F63</f>
        <v>0</v>
      </c>
      <c r="I21" s="161">
        <f>'INFORMAÇÃO FINANCEIRA'!G63</f>
        <v>4042425.0500000003</v>
      </c>
    </row>
    <row r="22" spans="2:9" ht="19.5" customHeight="1" x14ac:dyDescent="0.25">
      <c r="B22" s="552" t="s">
        <v>658</v>
      </c>
      <c r="C22" s="381"/>
      <c r="D22" s="553"/>
      <c r="E22" s="336">
        <f>'INFORMAÇÃO FINANCEIRA'!C48</f>
        <v>0</v>
      </c>
      <c r="F22" s="337">
        <f>'INFORMAÇÃO FINANCEIRA'!D48</f>
        <v>0</v>
      </c>
      <c r="G22" s="337">
        <f>'INFORMAÇÃO FINANCEIRA'!E48</f>
        <v>0</v>
      </c>
      <c r="H22" s="337">
        <f>'INFORMAÇÃO FINANCEIRA'!F48</f>
        <v>0</v>
      </c>
      <c r="I22" s="161">
        <f>'INFORMAÇÃO FINANCEIRA'!G48</f>
        <v>-6409879.8300000001</v>
      </c>
    </row>
    <row r="23" spans="2:9" ht="15" customHeight="1" x14ac:dyDescent="0.25"/>
    <row r="24" spans="2:9" s="31" customFormat="1" ht="46.5" customHeight="1" x14ac:dyDescent="0.25">
      <c r="B24" s="328" t="s">
        <v>638</v>
      </c>
      <c r="C24" s="325" t="s">
        <v>637</v>
      </c>
      <c r="D24" s="326" t="s">
        <v>705</v>
      </c>
      <c r="E24" s="164">
        <f>IF(F24&lt;&gt;"",F24-1,"")</f>
        <v>2017</v>
      </c>
      <c r="F24" s="164">
        <f>IF(G24&lt;&gt;"",G24-1,"")</f>
        <v>2018</v>
      </c>
      <c r="G24" s="164">
        <f>IF(H24&lt;&gt;"",H24-1,"")</f>
        <v>2019</v>
      </c>
      <c r="H24" s="164">
        <f>IF(I24&lt;&gt;"",I24-1,"")</f>
        <v>2020</v>
      </c>
      <c r="I24" s="171">
        <f>$D$3</f>
        <v>2021</v>
      </c>
    </row>
    <row r="25" spans="2:9" ht="15" customHeight="1" x14ac:dyDescent="0.25"/>
    <row r="26" spans="2:9" ht="19.5" customHeight="1" x14ac:dyDescent="0.25">
      <c r="B26" s="77" t="s">
        <v>650</v>
      </c>
      <c r="C26" s="330"/>
      <c r="D26" s="331"/>
      <c r="E26" s="338" t="s">
        <v>621</v>
      </c>
      <c r="F26" s="339" t="str">
        <f>IFERROR(F12/E12-1,"")</f>
        <v/>
      </c>
      <c r="G26" s="339" t="str">
        <f t="shared" ref="G26:I26" si="1">IFERROR(G12/F12-1,"")</f>
        <v/>
      </c>
      <c r="H26" s="339" t="str">
        <f t="shared" si="1"/>
        <v/>
      </c>
      <c r="I26" s="158" t="str">
        <f t="shared" si="1"/>
        <v/>
      </c>
    </row>
    <row r="27" spans="2:9" ht="19.5" customHeight="1" x14ac:dyDescent="0.25">
      <c r="B27" s="77" t="s">
        <v>640</v>
      </c>
      <c r="C27" s="330"/>
      <c r="D27" s="331"/>
      <c r="E27" s="338" t="str">
        <f>IFERROR(E14/E12,"")</f>
        <v/>
      </c>
      <c r="F27" s="339" t="str">
        <f t="shared" ref="F27:I27" si="2">IFERROR(F14/F12,"")</f>
        <v/>
      </c>
      <c r="G27" s="339" t="str">
        <f t="shared" si="2"/>
        <v/>
      </c>
      <c r="H27" s="339" t="str">
        <f t="shared" si="2"/>
        <v/>
      </c>
      <c r="I27" s="158">
        <f t="shared" si="2"/>
        <v>1</v>
      </c>
    </row>
    <row r="28" spans="2:9" ht="19.5" customHeight="1" x14ac:dyDescent="0.25">
      <c r="B28" s="77" t="s">
        <v>641</v>
      </c>
      <c r="C28" s="330"/>
      <c r="D28" s="331"/>
      <c r="E28" s="338" t="str">
        <f>IFERROR(E15/E12,"")</f>
        <v/>
      </c>
      <c r="F28" s="339" t="str">
        <f t="shared" ref="F28:I28" si="3">IFERROR(F15/F12,"")</f>
        <v/>
      </c>
      <c r="G28" s="339" t="str">
        <f t="shared" si="3"/>
        <v/>
      </c>
      <c r="H28" s="339" t="str">
        <f t="shared" si="3"/>
        <v/>
      </c>
      <c r="I28" s="158">
        <f t="shared" si="3"/>
        <v>9.7219294840294843</v>
      </c>
    </row>
    <row r="29" spans="2:9" ht="19.5" customHeight="1" x14ac:dyDescent="0.25">
      <c r="B29" s="77" t="s">
        <v>642</v>
      </c>
      <c r="C29" s="330"/>
      <c r="D29" s="332"/>
      <c r="E29" s="338" t="str">
        <f>IFERROR(E16/E12,"")</f>
        <v/>
      </c>
      <c r="F29" s="339" t="str">
        <f t="shared" ref="F29:I29" si="4">IFERROR(F16/F12,"")</f>
        <v/>
      </c>
      <c r="G29" s="339" t="str">
        <f t="shared" si="4"/>
        <v/>
      </c>
      <c r="H29" s="339" t="str">
        <f t="shared" si="4"/>
        <v/>
      </c>
      <c r="I29" s="158">
        <f t="shared" si="4"/>
        <v>6.7364880835380836</v>
      </c>
    </row>
    <row r="30" spans="2:9" ht="19.5" customHeight="1" x14ac:dyDescent="0.25">
      <c r="B30" s="74" t="s">
        <v>655</v>
      </c>
      <c r="C30" s="329" t="s">
        <v>706</v>
      </c>
      <c r="D30" s="334">
        <v>0.15</v>
      </c>
      <c r="E30" s="340" t="str">
        <f>IFERROR(E16/(E15-E13),"")</f>
        <v/>
      </c>
      <c r="F30" s="341" t="str">
        <f t="shared" ref="F30:I30" si="5">IFERROR(F16/(F15-F13),"")</f>
        <v/>
      </c>
      <c r="G30" s="341" t="str">
        <f t="shared" si="5"/>
        <v/>
      </c>
      <c r="H30" s="341" t="str">
        <f t="shared" si="5"/>
        <v/>
      </c>
      <c r="I30" s="159">
        <f t="shared" si="5"/>
        <v>0.69291678103655474</v>
      </c>
    </row>
    <row r="31" spans="2:9" ht="19.5" customHeight="1" x14ac:dyDescent="0.25">
      <c r="B31" s="77" t="s">
        <v>647</v>
      </c>
      <c r="C31" s="330" t="s">
        <v>707</v>
      </c>
      <c r="D31" s="333">
        <v>1.5</v>
      </c>
      <c r="E31" s="342" t="str">
        <f>RÁCIOS!D13</f>
        <v/>
      </c>
      <c r="F31" s="343" t="str">
        <f>RÁCIOS!E13</f>
        <v/>
      </c>
      <c r="G31" s="343" t="str">
        <f>RÁCIOS!F13</f>
        <v/>
      </c>
      <c r="H31" s="343" t="str">
        <f>RÁCIOS!G13</f>
        <v/>
      </c>
      <c r="I31" s="160">
        <f>RÁCIOS!H13</f>
        <v>-0.4206261585480725</v>
      </c>
    </row>
    <row r="32" spans="2:9" ht="19.5" customHeight="1" x14ac:dyDescent="0.25">
      <c r="B32" s="77" t="s">
        <v>646</v>
      </c>
      <c r="C32" s="330" t="s">
        <v>708</v>
      </c>
      <c r="D32" s="333">
        <v>0.5</v>
      </c>
      <c r="E32" s="342" t="str">
        <f>RÁCIOS!D18</f>
        <v/>
      </c>
      <c r="F32" s="343" t="str">
        <f>RÁCIOS!E18</f>
        <v/>
      </c>
      <c r="G32" s="343" t="str">
        <f>RÁCIOS!F18</f>
        <v/>
      </c>
      <c r="H32" s="343" t="str">
        <f>RÁCIOS!G18</f>
        <v/>
      </c>
      <c r="I32" s="160">
        <f>RÁCIOS!H18</f>
        <v>-1.5856521149353158</v>
      </c>
    </row>
    <row r="33" spans="2:9" ht="19.5" customHeight="1" x14ac:dyDescent="0.25">
      <c r="B33" s="77" t="s">
        <v>648</v>
      </c>
      <c r="C33" s="330" t="s">
        <v>709</v>
      </c>
      <c r="D33" s="333">
        <v>0.4</v>
      </c>
      <c r="E33" s="338" t="str">
        <f>RÁCIOS!D19</f>
        <v/>
      </c>
      <c r="F33" s="339" t="str">
        <f>RÁCIOS!E19</f>
        <v/>
      </c>
      <c r="G33" s="339" t="str">
        <f>RÁCIOS!F19</f>
        <v/>
      </c>
      <c r="H33" s="339" t="str">
        <f>RÁCIOS!G19</f>
        <v/>
      </c>
      <c r="I33" s="158">
        <f>RÁCIOS!H19</f>
        <v>3.9207639188367569</v>
      </c>
    </row>
    <row r="34" spans="2:9" ht="19.5" customHeight="1" x14ac:dyDescent="0.25">
      <c r="B34" s="77" t="s">
        <v>643</v>
      </c>
      <c r="C34" s="335">
        <v>0.2</v>
      </c>
      <c r="D34" s="334">
        <v>0.2</v>
      </c>
      <c r="E34" s="338" t="str">
        <f>IFERROR(E17/E12,"")</f>
        <v/>
      </c>
      <c r="F34" s="339" t="str">
        <f t="shared" ref="F34:I34" si="6">IFERROR(F17/F12,"")</f>
        <v/>
      </c>
      <c r="G34" s="339" t="str">
        <f t="shared" si="6"/>
        <v/>
      </c>
      <c r="H34" s="339" t="str">
        <f t="shared" si="6"/>
        <v/>
      </c>
      <c r="I34" s="158">
        <f t="shared" si="6"/>
        <v>-8.7219294840294843</v>
      </c>
    </row>
    <row r="35" spans="2:9" ht="19.5" customHeight="1" x14ac:dyDescent="0.25">
      <c r="B35" s="77" t="s">
        <v>644</v>
      </c>
      <c r="C35" s="335"/>
      <c r="D35" s="334"/>
      <c r="E35" s="338" t="str">
        <f>IFERROR(E18/E12,"")</f>
        <v/>
      </c>
      <c r="F35" s="339" t="str">
        <f t="shared" ref="F35:I35" si="7">IFERROR(F18/F12,"")</f>
        <v/>
      </c>
      <c r="G35" s="339" t="str">
        <f t="shared" si="7"/>
        <v/>
      </c>
      <c r="H35" s="339" t="str">
        <f t="shared" si="7"/>
        <v/>
      </c>
      <c r="I35" s="158">
        <f t="shared" si="7"/>
        <v>-2.7565233415233415E-2</v>
      </c>
    </row>
    <row r="36" spans="2:9" ht="19.5" customHeight="1" x14ac:dyDescent="0.25">
      <c r="B36" s="77" t="s">
        <v>639</v>
      </c>
      <c r="C36" s="335">
        <v>0.25</v>
      </c>
      <c r="D36" s="334">
        <v>0.25</v>
      </c>
      <c r="E36" s="338" t="str">
        <f>IFERROR(E19/E12,"")</f>
        <v/>
      </c>
      <c r="F36" s="339" t="str">
        <f t="shared" ref="F36:I36" si="8">IFERROR(F19/F12,"")</f>
        <v/>
      </c>
      <c r="G36" s="339" t="str">
        <f t="shared" si="8"/>
        <v/>
      </c>
      <c r="H36" s="339" t="str">
        <f t="shared" si="8"/>
        <v/>
      </c>
      <c r="I36" s="158">
        <f t="shared" si="8"/>
        <v>-8.7494947174447173</v>
      </c>
    </row>
    <row r="37" spans="2:9" ht="19.5" customHeight="1" x14ac:dyDescent="0.25">
      <c r="B37" s="77" t="s">
        <v>649</v>
      </c>
      <c r="C37" s="335">
        <v>0.1</v>
      </c>
      <c r="D37" s="334">
        <v>0.1</v>
      </c>
      <c r="E37" s="338" t="str">
        <f t="shared" ref="E37:G37" si="9">IFERROR(E19/E22,"")</f>
        <v/>
      </c>
      <c r="F37" s="339" t="str">
        <f t="shared" si="9"/>
        <v/>
      </c>
      <c r="G37" s="339" t="str">
        <f t="shared" si="9"/>
        <v/>
      </c>
      <c r="H37" s="339" t="str">
        <f>IFERROR(H19/H22,"")</f>
        <v/>
      </c>
      <c r="I37" s="158">
        <f t="shared" ref="I37" si="10">IFERROR(I19/I22,"")</f>
        <v>1</v>
      </c>
    </row>
    <row r="38" spans="2:9" ht="15" customHeight="1" x14ac:dyDescent="0.25"/>
    <row r="39" spans="2:9" ht="15" customHeight="1" x14ac:dyDescent="0.25"/>
    <row r="40" spans="2:9" ht="15" customHeight="1" x14ac:dyDescent="0.25"/>
    <row r="41" spans="2:9" ht="15" customHeight="1" x14ac:dyDescent="0.25"/>
  </sheetData>
  <sheetProtection algorithmName="SHA-512" hashValue="NCqEs/J/2EsZzp1+pcezKncX3sjUVfGs1IHL1JopkCOECMh+NPJzpLrFRCRjSQ3aQLNTb5Hp9CelXgaS7vgoZA==" saltValue="hia3JJEvNTIfqU7XRAAG1A==" spinCount="100000" sheet="1" objects="1" scenarios="1" sort="0" autoFilter="0"/>
  <mergeCells count="14">
    <mergeCell ref="B20:D20"/>
    <mergeCell ref="B21:D21"/>
    <mergeCell ref="B22:D22"/>
    <mergeCell ref="B10:D10"/>
    <mergeCell ref="B15:D15"/>
    <mergeCell ref="B16:D16"/>
    <mergeCell ref="B17:D17"/>
    <mergeCell ref="B18:D18"/>
    <mergeCell ref="B19:D19"/>
    <mergeCell ref="B8:I8"/>
    <mergeCell ref="C5:F5"/>
    <mergeCell ref="B12:D12"/>
    <mergeCell ref="B13:D13"/>
    <mergeCell ref="B14:D14"/>
  </mergeCells>
  <hyperlinks>
    <hyperlink ref="B1" location="ÍNDICE!A1" display="BACK TO INDEX" xr:uid="{00000000-0004-0000-1D00-000000000000}"/>
  </hyperlinks>
  <pageMargins left="0.70866141732283472" right="0.70866141732283472" top="0.74803149606299213" bottom="0.74803149606299213" header="0.31496062992125984" footer="0.31496062992125984"/>
  <pageSetup scale="61" orientation="landscape" r:id="rId1"/>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tabColor rgb="FF92D050"/>
  </sheetPr>
  <dimension ref="A1:AH424"/>
  <sheetViews>
    <sheetView showGridLines="0" topLeftCell="D1" zoomScale="70" zoomScaleNormal="70" workbookViewId="0">
      <pane ySplit="1" topLeftCell="A2" activePane="bottomLeft" state="frozen"/>
      <selection activeCell="B1" sqref="B1:C1"/>
      <selection pane="bottomLeft" activeCell="J115" sqref="J115"/>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16" width="18.85546875" style="3" customWidth="1"/>
    <col min="17" max="17" width="12.140625" style="57" customWidth="1"/>
    <col min="18" max="18" width="0.85546875" style="3" customWidth="1"/>
    <col min="19" max="16384" width="17" style="3" hidden="1"/>
  </cols>
  <sheetData>
    <row r="1" spans="1:18" ht="21" customHeight="1" x14ac:dyDescent="0.2">
      <c r="A1" s="2"/>
      <c r="B1" s="445" t="s">
        <v>29</v>
      </c>
      <c r="C1" s="446"/>
      <c r="D1" s="2"/>
      <c r="E1" s="2"/>
      <c r="F1" s="2"/>
      <c r="G1" s="2"/>
      <c r="H1" s="2"/>
      <c r="I1" s="2"/>
      <c r="J1" s="2"/>
      <c r="K1" s="2"/>
      <c r="L1" s="2"/>
      <c r="M1" s="2"/>
      <c r="N1" s="2"/>
      <c r="O1" s="2"/>
      <c r="P1" s="2"/>
      <c r="Q1" s="56"/>
      <c r="R1" s="56"/>
    </row>
    <row r="2" spans="1:18" ht="15" customHeight="1" x14ac:dyDescent="0.2"/>
    <row r="3" spans="1:18" ht="15" customHeight="1" x14ac:dyDescent="0.25">
      <c r="E3" s="12" t="s">
        <v>37</v>
      </c>
      <c r="F3" s="186">
        <v>2022</v>
      </c>
    </row>
    <row r="4" spans="1:18" ht="15" customHeight="1" x14ac:dyDescent="0.2"/>
    <row r="5" spans="1:18" ht="20.25" customHeight="1" x14ac:dyDescent="0.2">
      <c r="B5" s="447" t="s">
        <v>4</v>
      </c>
      <c r="C5" s="448"/>
      <c r="D5" s="451" t="str">
        <f>IF(COVER!E8&lt;&gt;"",COVER!E8,"")</f>
        <v>POWER BLOX AFRICA, S.A.</v>
      </c>
      <c r="E5" s="374"/>
      <c r="F5" s="375"/>
    </row>
    <row r="6" spans="1:18" ht="15" customHeight="1" x14ac:dyDescent="0.2"/>
    <row r="7" spans="1:18" ht="15" customHeight="1" x14ac:dyDescent="0.2"/>
    <row r="8" spans="1:18" s="6" customFormat="1" ht="30.75" customHeight="1" x14ac:dyDescent="0.2">
      <c r="B8" s="376" t="s">
        <v>176</v>
      </c>
      <c r="C8" s="376"/>
      <c r="D8" s="377"/>
      <c r="E8" s="377"/>
      <c r="F8" s="377"/>
      <c r="G8" s="377"/>
      <c r="H8" s="377"/>
      <c r="I8" s="377"/>
      <c r="J8" s="377"/>
      <c r="K8" s="377"/>
      <c r="L8" s="377"/>
      <c r="M8" s="377"/>
      <c r="N8" s="377"/>
      <c r="O8" s="377"/>
      <c r="P8" s="377"/>
      <c r="Q8" s="377"/>
    </row>
    <row r="9" spans="1:18" ht="15" customHeight="1" x14ac:dyDescent="0.2">
      <c r="P9" s="122" t="s">
        <v>432</v>
      </c>
      <c r="Q9" s="121" t="str">
        <f>IF(COVER!$K$6&lt;&gt;"",CONCATENATE("milhares ",COVER!$K$6),"")</f>
        <v>milhares MZN</v>
      </c>
    </row>
    <row r="10" spans="1:18" s="31" customFormat="1" ht="31.5" customHeight="1" x14ac:dyDescent="0.2">
      <c r="B10" s="67"/>
      <c r="C10" s="102"/>
      <c r="D10" s="68" t="s">
        <v>723</v>
      </c>
      <c r="E10" s="68" t="s">
        <v>724</v>
      </c>
      <c r="F10" s="68" t="s">
        <v>726</v>
      </c>
      <c r="G10" s="68" t="s">
        <v>725</v>
      </c>
      <c r="H10" s="68" t="s">
        <v>727</v>
      </c>
      <c r="I10" s="68" t="s">
        <v>728</v>
      </c>
      <c r="J10" s="68" t="s">
        <v>729</v>
      </c>
      <c r="K10" s="68" t="s">
        <v>730</v>
      </c>
      <c r="L10" s="68" t="s">
        <v>731</v>
      </c>
      <c r="M10" s="68" t="s">
        <v>732</v>
      </c>
      <c r="N10" s="68" t="s">
        <v>733</v>
      </c>
      <c r="O10" s="68" t="s">
        <v>734</v>
      </c>
      <c r="P10" s="69">
        <f>$F$3</f>
        <v>2022</v>
      </c>
      <c r="Q10" s="70" t="str">
        <f>IF(AND(G10&lt;&gt;"",P10&lt;&gt;""),CONCATENATE("Variação % (",P10,"/",G10,")"),"")</f>
        <v>Variação % (2022/APRIL)</v>
      </c>
    </row>
    <row r="11" spans="1:18" ht="15" customHeight="1" x14ac:dyDescent="0.25">
      <c r="B11" s="71"/>
    </row>
    <row r="12" spans="1:18" ht="21" customHeight="1" x14ac:dyDescent="0.25">
      <c r="B12" s="370" t="s">
        <v>422</v>
      </c>
      <c r="C12" s="370"/>
      <c r="D12" s="371"/>
      <c r="E12" s="371"/>
      <c r="F12" s="371"/>
      <c r="G12" s="371"/>
      <c r="H12" s="371"/>
      <c r="I12" s="371"/>
      <c r="J12" s="371"/>
      <c r="K12" s="371"/>
      <c r="L12" s="371"/>
      <c r="M12" s="371"/>
      <c r="N12" s="371"/>
      <c r="O12" s="371"/>
      <c r="P12" s="371"/>
      <c r="Q12" s="372"/>
    </row>
    <row r="13" spans="1:18" ht="15" customHeight="1" x14ac:dyDescent="0.25">
      <c r="B13" s="72"/>
      <c r="C13" s="51"/>
      <c r="D13" s="91"/>
      <c r="E13" s="91"/>
      <c r="F13" s="91"/>
      <c r="G13" s="91"/>
      <c r="H13" s="91"/>
      <c r="I13" s="91"/>
      <c r="J13" s="91"/>
      <c r="K13" s="91"/>
      <c r="L13" s="91"/>
      <c r="M13" s="91"/>
      <c r="N13" s="91"/>
      <c r="O13" s="91"/>
      <c r="P13" s="107"/>
      <c r="Q13" s="215"/>
    </row>
    <row r="14" spans="1:18" ht="15" customHeight="1" x14ac:dyDescent="0.25">
      <c r="B14" s="73" t="s">
        <v>177</v>
      </c>
      <c r="C14" s="53" t="s">
        <v>178</v>
      </c>
      <c r="D14" s="211">
        <f>SUM(D15:D17)</f>
        <v>0</v>
      </c>
      <c r="E14" s="211">
        <f>SUM(E15:E17)</f>
        <v>0</v>
      </c>
      <c r="F14" s="211">
        <f>SUM(F15:F17)</f>
        <v>0</v>
      </c>
      <c r="G14" s="211">
        <f>SUM(G15:G17)</f>
        <v>0</v>
      </c>
      <c r="H14" s="211">
        <f t="shared" ref="H14:O14" si="0">SUM(H15:H17)</f>
        <v>0</v>
      </c>
      <c r="I14" s="211">
        <f t="shared" si="0"/>
        <v>0</v>
      </c>
      <c r="J14" s="211">
        <f t="shared" si="0"/>
        <v>0</v>
      </c>
      <c r="K14" s="211">
        <f t="shared" si="0"/>
        <v>0</v>
      </c>
      <c r="L14" s="211">
        <f t="shared" si="0"/>
        <v>0</v>
      </c>
      <c r="M14" s="211">
        <f t="shared" si="0"/>
        <v>0</v>
      </c>
      <c r="N14" s="211">
        <f t="shared" si="0"/>
        <v>0</v>
      </c>
      <c r="O14" s="211">
        <f t="shared" si="0"/>
        <v>0</v>
      </c>
      <c r="P14" s="112">
        <f>SUM(P15:P17)</f>
        <v>0</v>
      </c>
      <c r="Q14" s="212" t="str">
        <f>IFERROR(IF(AND(G14&lt;0,P14&lt;=0),-(P14-G14)/G14,IF(AND(G14&lt;0,P14&gt;0),-(P14-G14)/G14,(P14-G14)/G14)),"")</f>
        <v/>
      </c>
    </row>
    <row r="15" spans="1:18" ht="15" customHeight="1" x14ac:dyDescent="0.25">
      <c r="B15" s="74" t="s">
        <v>179</v>
      </c>
      <c r="C15" s="52" t="s">
        <v>180</v>
      </c>
      <c r="D15" s="205"/>
      <c r="E15" s="205"/>
      <c r="F15" s="205"/>
      <c r="G15" s="205"/>
      <c r="H15" s="205"/>
      <c r="I15" s="205"/>
      <c r="J15" s="205"/>
      <c r="K15" s="205"/>
      <c r="L15" s="205"/>
      <c r="M15" s="205"/>
      <c r="N15" s="205"/>
      <c r="O15" s="205"/>
      <c r="P15" s="206">
        <f>SUM(D15:O15)</f>
        <v>0</v>
      </c>
      <c r="Q15" s="216" t="str">
        <f t="shared" ref="Q15:Q78" si="1">IFERROR(IF(AND(G15&lt;0,P15&lt;=0),-(P15-G15)/G15,IF(AND(G15&lt;0,P15&gt;0),-(P15-G15)/G15,(P15-G15)/G15)),"")</f>
        <v/>
      </c>
    </row>
    <row r="16" spans="1:18" ht="15" customHeight="1" x14ac:dyDescent="0.25">
      <c r="B16" s="77" t="s">
        <v>181</v>
      </c>
      <c r="C16" s="48" t="s">
        <v>182</v>
      </c>
      <c r="D16" s="207"/>
      <c r="E16" s="207"/>
      <c r="F16" s="207"/>
      <c r="G16" s="207"/>
      <c r="H16" s="207"/>
      <c r="I16" s="207"/>
      <c r="J16" s="207"/>
      <c r="K16" s="207"/>
      <c r="L16" s="207"/>
      <c r="M16" s="207"/>
      <c r="N16" s="207"/>
      <c r="O16" s="207"/>
      <c r="P16" s="208">
        <f>SUM(D16:O16)</f>
        <v>0</v>
      </c>
      <c r="Q16" s="214" t="str">
        <f t="shared" si="1"/>
        <v/>
      </c>
    </row>
    <row r="17" spans="2:34" ht="15" customHeight="1" x14ac:dyDescent="0.25">
      <c r="B17" s="210"/>
      <c r="C17" s="209"/>
      <c r="D17" s="207"/>
      <c r="E17" s="207"/>
      <c r="F17" s="207"/>
      <c r="G17" s="207"/>
      <c r="H17" s="207"/>
      <c r="I17" s="207"/>
      <c r="J17" s="207"/>
      <c r="K17" s="207"/>
      <c r="L17" s="207"/>
      <c r="M17" s="207"/>
      <c r="N17" s="207"/>
      <c r="O17" s="207"/>
      <c r="P17" s="208"/>
      <c r="Q17" s="214" t="str">
        <f t="shared" si="1"/>
        <v/>
      </c>
    </row>
    <row r="18" spans="2:34" ht="15" customHeight="1" x14ac:dyDescent="0.25">
      <c r="B18" s="73" t="s">
        <v>183</v>
      </c>
      <c r="C18" s="53" t="s">
        <v>184</v>
      </c>
      <c r="D18" s="211">
        <f>SUM(D19:D29)</f>
        <v>101526.36</v>
      </c>
      <c r="E18" s="211">
        <f t="shared" ref="E18:P18" si="2">SUM(E19:E29)</f>
        <v>101526.36</v>
      </c>
      <c r="F18" s="211">
        <f t="shared" si="2"/>
        <v>101526.36</v>
      </c>
      <c r="G18" s="211">
        <f t="shared" si="2"/>
        <v>101526.36</v>
      </c>
      <c r="H18" s="211">
        <f t="shared" si="2"/>
        <v>101526.36</v>
      </c>
      <c r="I18" s="211">
        <f t="shared" si="2"/>
        <v>101526.36</v>
      </c>
      <c r="J18" s="211">
        <f t="shared" si="2"/>
        <v>101526.36</v>
      </c>
      <c r="K18" s="211">
        <f t="shared" si="2"/>
        <v>0</v>
      </c>
      <c r="L18" s="211">
        <f t="shared" si="2"/>
        <v>0</v>
      </c>
      <c r="M18" s="211">
        <f t="shared" si="2"/>
        <v>0</v>
      </c>
      <c r="N18" s="211">
        <f t="shared" si="2"/>
        <v>0</v>
      </c>
      <c r="O18" s="211">
        <f t="shared" si="2"/>
        <v>0</v>
      </c>
      <c r="P18" s="112">
        <f t="shared" si="2"/>
        <v>710684.52</v>
      </c>
      <c r="Q18" s="212">
        <f t="shared" si="1"/>
        <v>6</v>
      </c>
    </row>
    <row r="19" spans="2:34" ht="15" customHeight="1" x14ac:dyDescent="0.25">
      <c r="B19" s="77" t="s">
        <v>185</v>
      </c>
      <c r="C19" s="48" t="s">
        <v>186</v>
      </c>
      <c r="D19" s="207"/>
      <c r="E19" s="207"/>
      <c r="F19" s="207"/>
      <c r="G19" s="207"/>
      <c r="H19" s="207"/>
      <c r="I19" s="207"/>
      <c r="J19" s="207"/>
      <c r="K19" s="207"/>
      <c r="L19" s="207"/>
      <c r="M19" s="207"/>
      <c r="N19" s="207"/>
      <c r="O19" s="207"/>
      <c r="P19" s="208">
        <f t="shared" ref="P19:P27" si="3">SUM(D19:O19)</f>
        <v>0</v>
      </c>
      <c r="Q19" s="214" t="str">
        <f t="shared" si="1"/>
        <v/>
      </c>
    </row>
    <row r="20" spans="2:34" ht="15" customHeight="1" x14ac:dyDescent="0.25">
      <c r="B20" s="77" t="s">
        <v>187</v>
      </c>
      <c r="C20" s="48" t="s">
        <v>188</v>
      </c>
      <c r="D20" s="207">
        <v>97621.5</v>
      </c>
      <c r="E20" s="207">
        <v>97621.5</v>
      </c>
      <c r="F20" s="207">
        <v>97621.5</v>
      </c>
      <c r="G20" s="207">
        <v>97621.5</v>
      </c>
      <c r="H20" s="207">
        <v>97621.5</v>
      </c>
      <c r="I20" s="207">
        <v>97621.5</v>
      </c>
      <c r="J20" s="207">
        <v>97621.5</v>
      </c>
      <c r="K20" s="207"/>
      <c r="L20" s="207"/>
      <c r="M20" s="207"/>
      <c r="N20" s="207"/>
      <c r="O20" s="207"/>
      <c r="P20" s="208">
        <f t="shared" si="3"/>
        <v>683350.5</v>
      </c>
      <c r="Q20" s="214">
        <f t="shared" si="1"/>
        <v>6</v>
      </c>
    </row>
    <row r="21" spans="2:34" ht="15" customHeight="1" x14ac:dyDescent="0.25">
      <c r="B21" s="77" t="s">
        <v>189</v>
      </c>
      <c r="C21" s="48" t="s">
        <v>190</v>
      </c>
      <c r="D21" s="207">
        <v>3904.86</v>
      </c>
      <c r="E21" s="207">
        <v>3904.86</v>
      </c>
      <c r="F21" s="207">
        <v>3904.86</v>
      </c>
      <c r="G21" s="207">
        <v>3904.86</v>
      </c>
      <c r="H21" s="207">
        <v>3904.86</v>
      </c>
      <c r="I21" s="207">
        <v>3904.86</v>
      </c>
      <c r="J21" s="207">
        <v>3904.86</v>
      </c>
      <c r="K21" s="207"/>
      <c r="L21" s="207"/>
      <c r="M21" s="207"/>
      <c r="N21" s="207"/>
      <c r="O21" s="207"/>
      <c r="P21" s="208">
        <f t="shared" si="3"/>
        <v>27334.02</v>
      </c>
      <c r="Q21" s="214">
        <f t="shared" si="1"/>
        <v>6</v>
      </c>
    </row>
    <row r="22" spans="2:34" ht="15" customHeight="1" x14ac:dyDescent="0.25">
      <c r="B22" s="77" t="s">
        <v>191</v>
      </c>
      <c r="C22" s="48" t="s">
        <v>192</v>
      </c>
      <c r="D22" s="207"/>
      <c r="E22" s="207"/>
      <c r="F22" s="207"/>
      <c r="G22" s="207"/>
      <c r="H22" s="207"/>
      <c r="I22" s="207"/>
      <c r="J22" s="207"/>
      <c r="K22" s="207"/>
      <c r="L22" s="207"/>
      <c r="M22" s="207"/>
      <c r="N22" s="207"/>
      <c r="O22" s="207"/>
      <c r="P22" s="208">
        <f t="shared" si="3"/>
        <v>0</v>
      </c>
      <c r="Q22" s="214" t="str">
        <f t="shared" si="1"/>
        <v/>
      </c>
    </row>
    <row r="23" spans="2:34" ht="15" customHeight="1" x14ac:dyDescent="0.25">
      <c r="B23" s="77" t="s">
        <v>193</v>
      </c>
      <c r="C23" s="48" t="s">
        <v>194</v>
      </c>
      <c r="D23" s="207"/>
      <c r="E23" s="207"/>
      <c r="F23" s="207"/>
      <c r="G23" s="207"/>
      <c r="H23" s="207"/>
      <c r="I23" s="207"/>
      <c r="J23" s="207"/>
      <c r="K23" s="207"/>
      <c r="L23" s="207"/>
      <c r="M23" s="207"/>
      <c r="N23" s="207"/>
      <c r="O23" s="207"/>
      <c r="P23" s="208">
        <f t="shared" si="3"/>
        <v>0</v>
      </c>
      <c r="Q23" s="214" t="str">
        <f t="shared" si="1"/>
        <v/>
      </c>
    </row>
    <row r="24" spans="2:34" ht="15" customHeight="1" x14ac:dyDescent="0.25">
      <c r="B24" s="77" t="s">
        <v>195</v>
      </c>
      <c r="C24" s="48" t="s">
        <v>196</v>
      </c>
      <c r="D24" s="207"/>
      <c r="E24" s="207"/>
      <c r="F24" s="207"/>
      <c r="G24" s="207"/>
      <c r="H24" s="207"/>
      <c r="I24" s="207"/>
      <c r="J24" s="207"/>
      <c r="K24" s="207"/>
      <c r="L24" s="207"/>
      <c r="M24" s="207"/>
      <c r="N24" s="207"/>
      <c r="O24" s="207"/>
      <c r="P24" s="208">
        <f t="shared" si="3"/>
        <v>0</v>
      </c>
      <c r="Q24" s="214" t="str">
        <f t="shared" si="1"/>
        <v/>
      </c>
    </row>
    <row r="25" spans="2:34" ht="15" customHeight="1" x14ac:dyDescent="0.25">
      <c r="B25" s="77" t="s">
        <v>197</v>
      </c>
      <c r="C25" s="48" t="s">
        <v>198</v>
      </c>
      <c r="D25" s="207"/>
      <c r="E25" s="207"/>
      <c r="F25" s="207"/>
      <c r="G25" s="207"/>
      <c r="H25" s="207"/>
      <c r="I25" s="207"/>
      <c r="J25" s="207"/>
      <c r="K25" s="207"/>
      <c r="L25" s="207"/>
      <c r="M25" s="207"/>
      <c r="N25" s="207"/>
      <c r="O25" s="207"/>
      <c r="P25" s="208">
        <f t="shared" si="3"/>
        <v>0</v>
      </c>
      <c r="Q25" s="214" t="str">
        <f t="shared" si="1"/>
        <v/>
      </c>
    </row>
    <row r="26" spans="2:34" ht="15" customHeight="1" x14ac:dyDescent="0.25">
      <c r="B26" s="77" t="s">
        <v>199</v>
      </c>
      <c r="C26" s="48" t="s">
        <v>200</v>
      </c>
      <c r="D26" s="207"/>
      <c r="E26" s="207"/>
      <c r="F26" s="207"/>
      <c r="G26" s="207"/>
      <c r="H26" s="207"/>
      <c r="I26" s="207"/>
      <c r="J26" s="207"/>
      <c r="K26" s="207"/>
      <c r="L26" s="207"/>
      <c r="M26" s="207"/>
      <c r="N26" s="207"/>
      <c r="O26" s="207"/>
      <c r="P26" s="208">
        <f t="shared" si="3"/>
        <v>0</v>
      </c>
      <c r="Q26" s="214" t="str">
        <f t="shared" si="1"/>
        <v/>
      </c>
    </row>
    <row r="27" spans="2:34" ht="15" customHeight="1" x14ac:dyDescent="0.25">
      <c r="B27" s="77" t="s">
        <v>201</v>
      </c>
      <c r="C27" s="48" t="s">
        <v>202</v>
      </c>
      <c r="D27" s="207"/>
      <c r="E27" s="207"/>
      <c r="F27" s="207"/>
      <c r="G27" s="207"/>
      <c r="H27" s="207"/>
      <c r="I27" s="207"/>
      <c r="J27" s="207"/>
      <c r="K27" s="207"/>
      <c r="L27" s="207"/>
      <c r="M27" s="207"/>
      <c r="N27" s="207"/>
      <c r="O27" s="207"/>
      <c r="P27" s="208">
        <f t="shared" si="3"/>
        <v>0</v>
      </c>
      <c r="Q27" s="214" t="str">
        <f t="shared" si="1"/>
        <v/>
      </c>
    </row>
    <row r="28" spans="2:34" ht="15" customHeight="1" x14ac:dyDescent="0.25">
      <c r="B28" s="210"/>
      <c r="C28" s="209"/>
      <c r="D28" s="207"/>
      <c r="E28" s="207"/>
      <c r="F28" s="207"/>
      <c r="G28" s="207"/>
      <c r="H28" s="207"/>
      <c r="I28" s="207"/>
      <c r="J28" s="207"/>
      <c r="K28" s="207"/>
      <c r="L28" s="207"/>
      <c r="M28" s="207"/>
      <c r="N28" s="207"/>
      <c r="O28" s="207"/>
      <c r="P28" s="208"/>
      <c r="Q28" s="214" t="str">
        <f t="shared" si="1"/>
        <v/>
      </c>
    </row>
    <row r="29" spans="2:34" ht="15" customHeight="1" x14ac:dyDescent="0.25">
      <c r="B29" s="210"/>
      <c r="C29" s="209"/>
      <c r="D29" s="207"/>
      <c r="E29" s="207"/>
      <c r="F29" s="207"/>
      <c r="G29" s="207"/>
      <c r="H29" s="207"/>
      <c r="I29" s="207"/>
      <c r="J29" s="207"/>
      <c r="K29" s="207"/>
      <c r="L29" s="207"/>
      <c r="M29" s="207"/>
      <c r="N29" s="207"/>
      <c r="O29" s="207"/>
      <c r="P29" s="208"/>
      <c r="Q29" s="214" t="str">
        <f t="shared" si="1"/>
        <v/>
      </c>
    </row>
    <row r="30" spans="2:34" ht="15" customHeight="1" x14ac:dyDescent="0.25">
      <c r="B30" s="73" t="s">
        <v>203</v>
      </c>
      <c r="C30" s="53" t="s">
        <v>204</v>
      </c>
      <c r="D30" s="211">
        <f>SUM(D31:D66)</f>
        <v>332655.42</v>
      </c>
      <c r="E30" s="211">
        <f>SUM(E31:E66)</f>
        <v>35275.619999999995</v>
      </c>
      <c r="F30" s="211">
        <f>SUM(F31:F66)</f>
        <v>294862.99</v>
      </c>
      <c r="G30" s="211">
        <f>SUM(G31:G66)</f>
        <v>304995</v>
      </c>
      <c r="H30" s="211">
        <f t="shared" ref="H30:O30" si="4">SUM(H31:H66)</f>
        <v>387095.05</v>
      </c>
      <c r="I30" s="211">
        <f t="shared" si="4"/>
        <v>150000</v>
      </c>
      <c r="J30" s="211">
        <f t="shared" si="4"/>
        <v>727295.81</v>
      </c>
      <c r="K30" s="211">
        <f t="shared" si="4"/>
        <v>0</v>
      </c>
      <c r="L30" s="211">
        <f t="shared" si="4"/>
        <v>0</v>
      </c>
      <c r="M30" s="211">
        <f t="shared" si="4"/>
        <v>0</v>
      </c>
      <c r="N30" s="211">
        <f t="shared" si="4"/>
        <v>0</v>
      </c>
      <c r="O30" s="211">
        <f t="shared" si="4"/>
        <v>0</v>
      </c>
      <c r="P30" s="112">
        <f>SUM(P31:P66)</f>
        <v>2232179.89</v>
      </c>
      <c r="Q30" s="212">
        <f t="shared" si="1"/>
        <v>6.318742569550321</v>
      </c>
    </row>
    <row r="31" spans="2:34" ht="15" customHeight="1" x14ac:dyDescent="0.25">
      <c r="B31" s="77" t="s">
        <v>205</v>
      </c>
      <c r="C31" s="48" t="s">
        <v>206</v>
      </c>
      <c r="D31" s="207"/>
      <c r="E31" s="207"/>
      <c r="F31" s="207"/>
      <c r="G31" s="207"/>
      <c r="H31" s="207"/>
      <c r="I31" s="207"/>
      <c r="J31" s="207"/>
      <c r="K31" s="207"/>
      <c r="L31" s="207"/>
      <c r="M31" s="207"/>
      <c r="N31" s="207"/>
      <c r="O31" s="207"/>
      <c r="P31" s="208">
        <f t="shared" ref="P31:P61" si="5">SUM(D31:O31)</f>
        <v>0</v>
      </c>
      <c r="Q31" s="214" t="str">
        <f t="shared" si="1"/>
        <v/>
      </c>
      <c r="S31" s="3">
        <f t="shared" ref="S31:S66" si="6">IF($P31=MAX($P$31:$P$66),"max1",P31)</f>
        <v>0</v>
      </c>
      <c r="T31" s="3">
        <f t="shared" ref="T31:T66" si="7">IF($S31=MAX($S$31:$S$66),"max2",S31)</f>
        <v>0</v>
      </c>
      <c r="U31" s="3">
        <f t="shared" ref="U31:U66" si="8">IF($T31=MAX($T$31:$T$66),"max3",T31)</f>
        <v>0</v>
      </c>
      <c r="V31" s="3">
        <f t="shared" ref="V31:V66" si="9">IF($U31=MAX($U$31:$U$66),"max4",U31)</f>
        <v>0</v>
      </c>
      <c r="W31" s="3">
        <f t="shared" ref="W31:W66" si="10">IF($V31=MAX($V$31:$V$66),"max5",V31)</f>
        <v>0</v>
      </c>
      <c r="X31" s="3">
        <f t="shared" ref="X31:X66" si="11">IF($W31=MAX($W$31:$W$66),"max6",W31)</f>
        <v>0</v>
      </c>
      <c r="Y31" s="3">
        <f t="shared" ref="Y31:Y66" si="12">IF($X31=MAX($X$31:$X$66),"max7",X31)</f>
        <v>0</v>
      </c>
      <c r="Z31" s="3">
        <f t="shared" ref="Z31:Z66" si="13">IF($Y31=MAX($Y$31:$Y$66),"max8",Y31)</f>
        <v>0</v>
      </c>
      <c r="AA31" s="3">
        <f t="shared" ref="AA31:AA66" si="14">IF($Z31=MAX($Z$31:$Z$66),"max9",Z31)</f>
        <v>0</v>
      </c>
      <c r="AB31" s="3">
        <f t="shared" ref="AB31:AB66" si="15">IF($AA31=MAX($AA$31:$AA$66),"max10",AA31)</f>
        <v>0</v>
      </c>
      <c r="AC31" s="3">
        <f t="shared" ref="AC31:AC66" si="16">IF($AB31=MAX($AB$31:$AB$66),"max11",AB31)</f>
        <v>0</v>
      </c>
      <c r="AD31" s="3">
        <f t="shared" ref="AD31:AD66" si="17">IF($AC31=MAX($AC$31:$AC$66),"max12",AC31)</f>
        <v>0</v>
      </c>
      <c r="AE31" s="3">
        <f>IF($AD31=MAX($AD$31:$AD$66),"max13",AD31)</f>
        <v>0</v>
      </c>
      <c r="AF31" s="3" t="str">
        <f>IF($AE31=MAX($AE$31:$AE$66),"max14",AE31)</f>
        <v>max14</v>
      </c>
      <c r="AG31" s="3" t="str">
        <f>IF($AF31=MAX($AF$31:$AF$66),"max15",AF31)</f>
        <v>max14</v>
      </c>
      <c r="AH31" s="3" t="str">
        <f>IF($P$30=0,0,IF(LEFT(AG31,3)="max",AG31,"Outro"))</f>
        <v>max14</v>
      </c>
    </row>
    <row r="32" spans="2:34" ht="15" customHeight="1" x14ac:dyDescent="0.25">
      <c r="B32" s="77" t="s">
        <v>207</v>
      </c>
      <c r="C32" s="48" t="s">
        <v>208</v>
      </c>
      <c r="D32" s="207"/>
      <c r="E32" s="207"/>
      <c r="F32" s="207"/>
      <c r="G32" s="207"/>
      <c r="H32" s="207"/>
      <c r="I32" s="207"/>
      <c r="J32" s="207"/>
      <c r="K32" s="207"/>
      <c r="L32" s="207"/>
      <c r="M32" s="207"/>
      <c r="N32" s="207"/>
      <c r="O32" s="207"/>
      <c r="P32" s="208">
        <f t="shared" si="5"/>
        <v>0</v>
      </c>
      <c r="Q32" s="214" t="str">
        <f t="shared" si="1"/>
        <v/>
      </c>
      <c r="S32" s="3">
        <f t="shared" si="6"/>
        <v>0</v>
      </c>
      <c r="T32" s="3">
        <f t="shared" si="7"/>
        <v>0</v>
      </c>
      <c r="U32" s="3">
        <f t="shared" si="8"/>
        <v>0</v>
      </c>
      <c r="V32" s="3">
        <f t="shared" si="9"/>
        <v>0</v>
      </c>
      <c r="W32" s="3">
        <f t="shared" si="10"/>
        <v>0</v>
      </c>
      <c r="X32" s="3">
        <f t="shared" si="11"/>
        <v>0</v>
      </c>
      <c r="Y32" s="3">
        <f t="shared" si="12"/>
        <v>0</v>
      </c>
      <c r="Z32" s="3">
        <f t="shared" si="13"/>
        <v>0</v>
      </c>
      <c r="AA32" s="3">
        <f t="shared" si="14"/>
        <v>0</v>
      </c>
      <c r="AB32" s="3">
        <f t="shared" si="15"/>
        <v>0</v>
      </c>
      <c r="AC32" s="3">
        <f t="shared" si="16"/>
        <v>0</v>
      </c>
      <c r="AD32" s="3">
        <f t="shared" si="17"/>
        <v>0</v>
      </c>
      <c r="AE32" s="3">
        <f t="shared" ref="AE32:AE66" si="18">IF($AD32=MAX($AD$31:$AD$66),"max13",AD32)</f>
        <v>0</v>
      </c>
      <c r="AF32" s="3" t="str">
        <f t="shared" ref="AF32:AF66" si="19">IF($AE32=MAX($AE$31:$AE$66),"max14",AE32)</f>
        <v>max14</v>
      </c>
      <c r="AG32" s="3" t="str">
        <f t="shared" ref="AG32:AG66" si="20">IF($AF32=MAX($AF$31:$AF$66),"max15",AF32)</f>
        <v>max14</v>
      </c>
      <c r="AH32" s="3" t="str">
        <f>IF($P$30=0,0,IF(LEFT(AG32,3)="max",AG32,"Outro"))</f>
        <v>max14</v>
      </c>
    </row>
    <row r="33" spans="2:34" ht="15" customHeight="1" x14ac:dyDescent="0.25">
      <c r="B33" s="77" t="s">
        <v>209</v>
      </c>
      <c r="C33" s="48" t="s">
        <v>210</v>
      </c>
      <c r="D33" s="207"/>
      <c r="E33" s="207"/>
      <c r="F33" s="207"/>
      <c r="G33" s="207">
        <v>5000</v>
      </c>
      <c r="H33" s="207"/>
      <c r="I33" s="207"/>
      <c r="J33" s="207">
        <v>5000</v>
      </c>
      <c r="K33" s="207"/>
      <c r="L33" s="207"/>
      <c r="M33" s="207"/>
      <c r="N33" s="207"/>
      <c r="O33" s="207"/>
      <c r="P33" s="208">
        <f t="shared" si="5"/>
        <v>10000</v>
      </c>
      <c r="Q33" s="214">
        <f t="shared" si="1"/>
        <v>1</v>
      </c>
      <c r="S33" s="3">
        <f t="shared" si="6"/>
        <v>10000</v>
      </c>
      <c r="T33" s="3">
        <f t="shared" si="7"/>
        <v>10000</v>
      </c>
      <c r="U33" s="3">
        <f t="shared" si="8"/>
        <v>10000</v>
      </c>
      <c r="V33" s="3">
        <f t="shared" si="9"/>
        <v>10000</v>
      </c>
      <c r="W33" s="3">
        <f t="shared" si="10"/>
        <v>10000</v>
      </c>
      <c r="X33" s="3">
        <f t="shared" si="11"/>
        <v>10000</v>
      </c>
      <c r="Y33" s="3">
        <f t="shared" si="12"/>
        <v>10000</v>
      </c>
      <c r="Z33" s="3">
        <f t="shared" si="13"/>
        <v>10000</v>
      </c>
      <c r="AA33" s="3">
        <f t="shared" si="14"/>
        <v>10000</v>
      </c>
      <c r="AB33" s="3">
        <f t="shared" si="15"/>
        <v>10000</v>
      </c>
      <c r="AC33" s="3">
        <f t="shared" si="16"/>
        <v>10000</v>
      </c>
      <c r="AD33" s="3" t="str">
        <f t="shared" si="17"/>
        <v>max12</v>
      </c>
      <c r="AE33" s="3" t="str">
        <f t="shared" si="18"/>
        <v>max12</v>
      </c>
      <c r="AF33" s="3" t="str">
        <f t="shared" si="19"/>
        <v>max12</v>
      </c>
      <c r="AG33" s="3" t="str">
        <f t="shared" si="20"/>
        <v>max12</v>
      </c>
      <c r="AH33" s="3" t="str">
        <f>IF($P$30=0,0,IF(LEFT(AG33,3)="max",AG33,"Outro"))</f>
        <v>max12</v>
      </c>
    </row>
    <row r="34" spans="2:34" ht="15" customHeight="1" x14ac:dyDescent="0.25">
      <c r="B34" s="77" t="s">
        <v>211</v>
      </c>
      <c r="C34" s="48" t="s">
        <v>212</v>
      </c>
      <c r="D34" s="207">
        <v>9526.56</v>
      </c>
      <c r="E34" s="207">
        <v>5642</v>
      </c>
      <c r="F34" s="207">
        <v>13516</v>
      </c>
      <c r="G34" s="207">
        <v>10000</v>
      </c>
      <c r="H34" s="207">
        <v>3100</v>
      </c>
      <c r="I34" s="207"/>
      <c r="J34" s="207"/>
      <c r="K34" s="207"/>
      <c r="L34" s="207"/>
      <c r="M34" s="207"/>
      <c r="N34" s="207"/>
      <c r="O34" s="207"/>
      <c r="P34" s="208">
        <f t="shared" si="5"/>
        <v>41784.559999999998</v>
      </c>
      <c r="Q34" s="214">
        <f t="shared" si="1"/>
        <v>3.1784559999999997</v>
      </c>
      <c r="S34" s="3">
        <f t="shared" si="6"/>
        <v>41784.559999999998</v>
      </c>
      <c r="T34" s="3">
        <f t="shared" si="7"/>
        <v>41784.559999999998</v>
      </c>
      <c r="U34" s="3">
        <f t="shared" si="8"/>
        <v>41784.559999999998</v>
      </c>
      <c r="V34" s="3" t="str">
        <f t="shared" si="9"/>
        <v>max4</v>
      </c>
      <c r="W34" s="3" t="str">
        <f t="shared" si="10"/>
        <v>max4</v>
      </c>
      <c r="X34" s="3" t="str">
        <f t="shared" si="11"/>
        <v>max4</v>
      </c>
      <c r="Y34" s="3" t="str">
        <f t="shared" si="12"/>
        <v>max4</v>
      </c>
      <c r="Z34" s="3" t="str">
        <f t="shared" si="13"/>
        <v>max4</v>
      </c>
      <c r="AA34" s="3" t="str">
        <f t="shared" si="14"/>
        <v>max4</v>
      </c>
      <c r="AB34" s="3" t="str">
        <f t="shared" si="15"/>
        <v>max4</v>
      </c>
      <c r="AC34" s="3" t="str">
        <f t="shared" si="16"/>
        <v>max4</v>
      </c>
      <c r="AD34" s="3" t="str">
        <f t="shared" si="17"/>
        <v>max4</v>
      </c>
      <c r="AE34" s="3" t="str">
        <f t="shared" si="18"/>
        <v>max4</v>
      </c>
      <c r="AF34" s="3" t="str">
        <f t="shared" si="19"/>
        <v>max4</v>
      </c>
      <c r="AG34" s="3" t="str">
        <f t="shared" si="20"/>
        <v>max4</v>
      </c>
      <c r="AH34" s="3" t="str">
        <f>IF($P$30=0,0,IF(LEFT(AG34,3)="max",AG34,"Outro"))</f>
        <v>max4</v>
      </c>
    </row>
    <row r="35" spans="2:34" ht="15" customHeight="1" x14ac:dyDescent="0.25">
      <c r="B35" s="77" t="s">
        <v>213</v>
      </c>
      <c r="C35" s="48" t="s">
        <v>453</v>
      </c>
      <c r="D35" s="207">
        <v>7066.86</v>
      </c>
      <c r="E35" s="207">
        <v>1016.5</v>
      </c>
      <c r="F35" s="207"/>
      <c r="G35" s="207">
        <v>265</v>
      </c>
      <c r="H35" s="207">
        <v>20128.21</v>
      </c>
      <c r="I35" s="207"/>
      <c r="J35" s="207">
        <v>1591.46</v>
      </c>
      <c r="K35" s="207"/>
      <c r="L35" s="207"/>
      <c r="M35" s="207"/>
      <c r="N35" s="207"/>
      <c r="O35" s="207"/>
      <c r="P35" s="208">
        <f t="shared" si="5"/>
        <v>30068.03</v>
      </c>
      <c r="Q35" s="214">
        <f t="shared" si="1"/>
        <v>112.46426415094339</v>
      </c>
      <c r="S35" s="3">
        <f t="shared" si="6"/>
        <v>30068.03</v>
      </c>
      <c r="T35" s="3">
        <f t="shared" si="7"/>
        <v>30068.03</v>
      </c>
      <c r="U35" s="3">
        <f t="shared" si="8"/>
        <v>30068.03</v>
      </c>
      <c r="V35" s="3">
        <f t="shared" si="9"/>
        <v>30068.03</v>
      </c>
      <c r="W35" s="3" t="str">
        <f t="shared" si="10"/>
        <v>max5</v>
      </c>
      <c r="X35" s="3" t="str">
        <f t="shared" si="11"/>
        <v>max5</v>
      </c>
      <c r="Y35" s="3" t="str">
        <f t="shared" si="12"/>
        <v>max5</v>
      </c>
      <c r="Z35" s="3" t="str">
        <f t="shared" si="13"/>
        <v>max5</v>
      </c>
      <c r="AA35" s="3" t="str">
        <f t="shared" si="14"/>
        <v>max5</v>
      </c>
      <c r="AB35" s="3" t="str">
        <f t="shared" si="15"/>
        <v>max5</v>
      </c>
      <c r="AC35" s="3" t="str">
        <f t="shared" si="16"/>
        <v>max5</v>
      </c>
      <c r="AD35" s="3" t="str">
        <f t="shared" si="17"/>
        <v>max5</v>
      </c>
      <c r="AE35" s="3" t="str">
        <f t="shared" si="18"/>
        <v>max5</v>
      </c>
      <c r="AF35" s="3" t="str">
        <f t="shared" si="19"/>
        <v>max5</v>
      </c>
      <c r="AG35" s="3" t="str">
        <f t="shared" si="20"/>
        <v>max5</v>
      </c>
      <c r="AH35" s="3" t="str">
        <f t="shared" ref="AH35:AH66" si="21">IF($P$30=0,0,IF(LEFT(AG35,3)="max",AG35,"Outro"))</f>
        <v>max5</v>
      </c>
    </row>
    <row r="36" spans="2:34" ht="15" customHeight="1" x14ac:dyDescent="0.25">
      <c r="B36" s="77" t="s">
        <v>214</v>
      </c>
      <c r="C36" s="48" t="s">
        <v>215</v>
      </c>
      <c r="D36" s="207"/>
      <c r="E36" s="207"/>
      <c r="F36" s="207"/>
      <c r="G36" s="207"/>
      <c r="H36" s="207">
        <v>17200</v>
      </c>
      <c r="I36" s="207"/>
      <c r="J36" s="207"/>
      <c r="K36" s="207"/>
      <c r="L36" s="207"/>
      <c r="M36" s="207"/>
      <c r="N36" s="207"/>
      <c r="O36" s="207"/>
      <c r="P36" s="208">
        <f t="shared" si="5"/>
        <v>17200</v>
      </c>
      <c r="Q36" s="214" t="str">
        <f t="shared" si="1"/>
        <v/>
      </c>
      <c r="S36" s="3">
        <f t="shared" si="6"/>
        <v>17200</v>
      </c>
      <c r="T36" s="3">
        <f t="shared" si="7"/>
        <v>17200</v>
      </c>
      <c r="U36" s="3">
        <f t="shared" si="8"/>
        <v>17200</v>
      </c>
      <c r="V36" s="3">
        <f t="shared" si="9"/>
        <v>17200</v>
      </c>
      <c r="W36" s="3">
        <f t="shared" si="10"/>
        <v>17200</v>
      </c>
      <c r="X36" s="3">
        <f t="shared" si="11"/>
        <v>17200</v>
      </c>
      <c r="Y36" s="3">
        <f t="shared" si="12"/>
        <v>17200</v>
      </c>
      <c r="Z36" s="3">
        <f t="shared" si="13"/>
        <v>17200</v>
      </c>
      <c r="AA36" s="3">
        <f t="shared" si="14"/>
        <v>17200</v>
      </c>
      <c r="AB36" s="3" t="str">
        <f t="shared" si="15"/>
        <v>max10</v>
      </c>
      <c r="AC36" s="3" t="str">
        <f t="shared" si="16"/>
        <v>max10</v>
      </c>
      <c r="AD36" s="3" t="str">
        <f t="shared" si="17"/>
        <v>max10</v>
      </c>
      <c r="AE36" s="3" t="str">
        <f t="shared" si="18"/>
        <v>max10</v>
      </c>
      <c r="AF36" s="3" t="str">
        <f t="shared" si="19"/>
        <v>max10</v>
      </c>
      <c r="AG36" s="3" t="str">
        <f t="shared" si="20"/>
        <v>max10</v>
      </c>
      <c r="AH36" s="3" t="str">
        <f t="shared" si="21"/>
        <v>max10</v>
      </c>
    </row>
    <row r="37" spans="2:34" ht="15" customHeight="1" x14ac:dyDescent="0.25">
      <c r="B37" s="77" t="s">
        <v>216</v>
      </c>
      <c r="C37" s="48" t="s">
        <v>217</v>
      </c>
      <c r="D37" s="207">
        <v>1062</v>
      </c>
      <c r="E37" s="207">
        <v>6606.12</v>
      </c>
      <c r="F37" s="207">
        <v>1190.5</v>
      </c>
      <c r="G37" s="207">
        <v>102730</v>
      </c>
      <c r="H37" s="207"/>
      <c r="I37" s="207"/>
      <c r="J37" s="207">
        <v>3704.35</v>
      </c>
      <c r="K37" s="207"/>
      <c r="L37" s="207"/>
      <c r="M37" s="207"/>
      <c r="N37" s="207"/>
      <c r="O37" s="207"/>
      <c r="P37" s="208">
        <f t="shared" si="5"/>
        <v>115292.97</v>
      </c>
      <c r="Q37" s="214">
        <f t="shared" si="1"/>
        <v>0.12229115156234792</v>
      </c>
      <c r="S37" s="3">
        <f t="shared" si="6"/>
        <v>115292.97</v>
      </c>
      <c r="T37" s="3">
        <f t="shared" si="7"/>
        <v>115292.97</v>
      </c>
      <c r="U37" s="3" t="str">
        <f t="shared" si="8"/>
        <v>max3</v>
      </c>
      <c r="V37" s="3" t="str">
        <f t="shared" si="9"/>
        <v>max3</v>
      </c>
      <c r="W37" s="3" t="str">
        <f t="shared" si="10"/>
        <v>max3</v>
      </c>
      <c r="X37" s="3" t="str">
        <f t="shared" si="11"/>
        <v>max3</v>
      </c>
      <c r="Y37" s="3" t="str">
        <f t="shared" si="12"/>
        <v>max3</v>
      </c>
      <c r="Z37" s="3" t="str">
        <f t="shared" si="13"/>
        <v>max3</v>
      </c>
      <c r="AA37" s="3" t="str">
        <f t="shared" si="14"/>
        <v>max3</v>
      </c>
      <c r="AB37" s="3" t="str">
        <f t="shared" si="15"/>
        <v>max3</v>
      </c>
      <c r="AC37" s="3" t="str">
        <f t="shared" si="16"/>
        <v>max3</v>
      </c>
      <c r="AD37" s="3" t="str">
        <f t="shared" si="17"/>
        <v>max3</v>
      </c>
      <c r="AE37" s="3" t="str">
        <f t="shared" si="18"/>
        <v>max3</v>
      </c>
      <c r="AF37" s="3" t="str">
        <f t="shared" si="19"/>
        <v>max3</v>
      </c>
      <c r="AG37" s="3" t="str">
        <f t="shared" si="20"/>
        <v>max3</v>
      </c>
      <c r="AH37" s="3" t="str">
        <f t="shared" si="21"/>
        <v>max3</v>
      </c>
    </row>
    <row r="38" spans="2:34" ht="15" customHeight="1" x14ac:dyDescent="0.25">
      <c r="B38" s="77" t="s">
        <v>218</v>
      </c>
      <c r="C38" s="48" t="s">
        <v>451</v>
      </c>
      <c r="D38" s="207"/>
      <c r="E38" s="207"/>
      <c r="F38" s="207"/>
      <c r="G38" s="207">
        <v>25000</v>
      </c>
      <c r="H38" s="207"/>
      <c r="I38" s="207"/>
      <c r="J38" s="207"/>
      <c r="K38" s="207"/>
      <c r="L38" s="207"/>
      <c r="M38" s="207"/>
      <c r="N38" s="207"/>
      <c r="O38" s="207"/>
      <c r="P38" s="208">
        <f t="shared" si="5"/>
        <v>25000</v>
      </c>
      <c r="Q38" s="214">
        <f t="shared" si="1"/>
        <v>0</v>
      </c>
      <c r="S38" s="3">
        <f t="shared" si="6"/>
        <v>25000</v>
      </c>
      <c r="T38" s="3">
        <f t="shared" si="7"/>
        <v>25000</v>
      </c>
      <c r="U38" s="3">
        <f t="shared" si="8"/>
        <v>25000</v>
      </c>
      <c r="V38" s="3">
        <f t="shared" si="9"/>
        <v>25000</v>
      </c>
      <c r="W38" s="3">
        <f t="shared" si="10"/>
        <v>25000</v>
      </c>
      <c r="X38" s="3">
        <f t="shared" si="11"/>
        <v>25000</v>
      </c>
      <c r="Y38" s="3" t="str">
        <f t="shared" si="12"/>
        <v>max7</v>
      </c>
      <c r="Z38" s="3" t="str">
        <f t="shared" si="13"/>
        <v>max7</v>
      </c>
      <c r="AA38" s="3" t="str">
        <f t="shared" si="14"/>
        <v>max7</v>
      </c>
      <c r="AB38" s="3" t="str">
        <f t="shared" si="15"/>
        <v>max7</v>
      </c>
      <c r="AC38" s="3" t="str">
        <f t="shared" si="16"/>
        <v>max7</v>
      </c>
      <c r="AD38" s="3" t="str">
        <f t="shared" si="17"/>
        <v>max7</v>
      </c>
      <c r="AE38" s="3" t="str">
        <f t="shared" si="18"/>
        <v>max7</v>
      </c>
      <c r="AF38" s="3" t="str">
        <f t="shared" si="19"/>
        <v>max7</v>
      </c>
      <c r="AG38" s="3" t="str">
        <f t="shared" si="20"/>
        <v>max7</v>
      </c>
      <c r="AH38" s="3" t="str">
        <f t="shared" si="21"/>
        <v>max7</v>
      </c>
    </row>
    <row r="39" spans="2:34" ht="15" customHeight="1" x14ac:dyDescent="0.25">
      <c r="B39" s="77" t="s">
        <v>219</v>
      </c>
      <c r="C39" s="48" t="s">
        <v>220</v>
      </c>
      <c r="D39" s="207"/>
      <c r="E39" s="207"/>
      <c r="F39" s="207"/>
      <c r="G39" s="207"/>
      <c r="H39" s="207"/>
      <c r="I39" s="207"/>
      <c r="J39" s="207"/>
      <c r="K39" s="207"/>
      <c r="L39" s="207"/>
      <c r="M39" s="207"/>
      <c r="N39" s="207"/>
      <c r="O39" s="207"/>
      <c r="P39" s="208">
        <f t="shared" si="5"/>
        <v>0</v>
      </c>
      <c r="Q39" s="214" t="str">
        <f t="shared" si="1"/>
        <v/>
      </c>
      <c r="S39" s="3">
        <f t="shared" si="6"/>
        <v>0</v>
      </c>
      <c r="T39" s="3">
        <f t="shared" si="7"/>
        <v>0</v>
      </c>
      <c r="U39" s="3">
        <f t="shared" si="8"/>
        <v>0</v>
      </c>
      <c r="V39" s="3">
        <f t="shared" si="9"/>
        <v>0</v>
      </c>
      <c r="W39" s="3">
        <f t="shared" si="10"/>
        <v>0</v>
      </c>
      <c r="X39" s="3">
        <f t="shared" si="11"/>
        <v>0</v>
      </c>
      <c r="Y39" s="3">
        <f t="shared" si="12"/>
        <v>0</v>
      </c>
      <c r="Z39" s="3">
        <f t="shared" si="13"/>
        <v>0</v>
      </c>
      <c r="AA39" s="3">
        <f t="shared" si="14"/>
        <v>0</v>
      </c>
      <c r="AB39" s="3">
        <f t="shared" si="15"/>
        <v>0</v>
      </c>
      <c r="AC39" s="3">
        <f t="shared" si="16"/>
        <v>0</v>
      </c>
      <c r="AD39" s="3">
        <f t="shared" si="17"/>
        <v>0</v>
      </c>
      <c r="AE39" s="3">
        <f t="shared" si="18"/>
        <v>0</v>
      </c>
      <c r="AF39" s="3" t="str">
        <f t="shared" si="19"/>
        <v>max14</v>
      </c>
      <c r="AG39" s="3" t="str">
        <f t="shared" si="20"/>
        <v>max14</v>
      </c>
      <c r="AH39" s="3" t="str">
        <f t="shared" si="21"/>
        <v>max14</v>
      </c>
    </row>
    <row r="40" spans="2:34" ht="15" customHeight="1" x14ac:dyDescent="0.25">
      <c r="B40" s="77" t="s">
        <v>221</v>
      </c>
      <c r="C40" s="209"/>
      <c r="D40" s="207"/>
      <c r="E40" s="207"/>
      <c r="F40" s="207"/>
      <c r="G40" s="207"/>
      <c r="H40" s="207"/>
      <c r="I40" s="207"/>
      <c r="J40" s="207"/>
      <c r="K40" s="207"/>
      <c r="L40" s="207"/>
      <c r="M40" s="207"/>
      <c r="N40" s="207"/>
      <c r="O40" s="207"/>
      <c r="P40" s="208">
        <f t="shared" si="5"/>
        <v>0</v>
      </c>
      <c r="Q40" s="214" t="str">
        <f t="shared" si="1"/>
        <v/>
      </c>
      <c r="S40" s="3">
        <f t="shared" si="6"/>
        <v>0</v>
      </c>
      <c r="T40" s="3">
        <f t="shared" si="7"/>
        <v>0</v>
      </c>
      <c r="U40" s="3">
        <f t="shared" si="8"/>
        <v>0</v>
      </c>
      <c r="V40" s="3">
        <f t="shared" si="9"/>
        <v>0</v>
      </c>
      <c r="W40" s="3">
        <f t="shared" si="10"/>
        <v>0</v>
      </c>
      <c r="X40" s="3">
        <f t="shared" si="11"/>
        <v>0</v>
      </c>
      <c r="Y40" s="3">
        <f t="shared" si="12"/>
        <v>0</v>
      </c>
      <c r="Z40" s="3">
        <f t="shared" si="13"/>
        <v>0</v>
      </c>
      <c r="AA40" s="3">
        <f t="shared" si="14"/>
        <v>0</v>
      </c>
      <c r="AB40" s="3">
        <f t="shared" si="15"/>
        <v>0</v>
      </c>
      <c r="AC40" s="3">
        <f t="shared" si="16"/>
        <v>0</v>
      </c>
      <c r="AD40" s="3">
        <f t="shared" si="17"/>
        <v>0</v>
      </c>
      <c r="AE40" s="3">
        <f t="shared" si="18"/>
        <v>0</v>
      </c>
      <c r="AF40" s="3" t="str">
        <f t="shared" si="19"/>
        <v>max14</v>
      </c>
      <c r="AG40" s="3" t="str">
        <f t="shared" si="20"/>
        <v>max14</v>
      </c>
      <c r="AH40" s="3" t="str">
        <f t="shared" si="21"/>
        <v>max14</v>
      </c>
    </row>
    <row r="41" spans="2:34" ht="15" customHeight="1" x14ac:dyDescent="0.25">
      <c r="B41" s="77" t="s">
        <v>222</v>
      </c>
      <c r="C41" s="48" t="s">
        <v>452</v>
      </c>
      <c r="D41" s="207"/>
      <c r="E41" s="207"/>
      <c r="F41" s="207"/>
      <c r="G41" s="207"/>
      <c r="H41" s="207">
        <v>22960</v>
      </c>
      <c r="I41" s="207"/>
      <c r="J41" s="207"/>
      <c r="K41" s="207"/>
      <c r="L41" s="207"/>
      <c r="M41" s="207"/>
      <c r="N41" s="207"/>
      <c r="O41" s="207"/>
      <c r="P41" s="208">
        <f t="shared" si="5"/>
        <v>22960</v>
      </c>
      <c r="Q41" s="214" t="str">
        <f t="shared" si="1"/>
        <v/>
      </c>
      <c r="S41" s="3">
        <f t="shared" si="6"/>
        <v>22960</v>
      </c>
      <c r="T41" s="3">
        <f t="shared" si="7"/>
        <v>22960</v>
      </c>
      <c r="U41" s="3">
        <f t="shared" si="8"/>
        <v>22960</v>
      </c>
      <c r="V41" s="3">
        <f t="shared" si="9"/>
        <v>22960</v>
      </c>
      <c r="W41" s="3">
        <f t="shared" si="10"/>
        <v>22960</v>
      </c>
      <c r="X41" s="3">
        <f t="shared" si="11"/>
        <v>22960</v>
      </c>
      <c r="Y41" s="3">
        <f t="shared" si="12"/>
        <v>22960</v>
      </c>
      <c r="Z41" s="3">
        <f t="shared" si="13"/>
        <v>22960</v>
      </c>
      <c r="AA41" s="3" t="str">
        <f t="shared" si="14"/>
        <v>max9</v>
      </c>
      <c r="AB41" s="3" t="str">
        <f t="shared" si="15"/>
        <v>max9</v>
      </c>
      <c r="AC41" s="3" t="str">
        <f t="shared" si="16"/>
        <v>max9</v>
      </c>
      <c r="AD41" s="3" t="str">
        <f t="shared" si="17"/>
        <v>max9</v>
      </c>
      <c r="AE41" s="3" t="str">
        <f t="shared" si="18"/>
        <v>max9</v>
      </c>
      <c r="AF41" s="3" t="str">
        <f t="shared" si="19"/>
        <v>max9</v>
      </c>
      <c r="AG41" s="3" t="str">
        <f t="shared" si="20"/>
        <v>max9</v>
      </c>
      <c r="AH41" s="3" t="str">
        <f t="shared" si="21"/>
        <v>max9</v>
      </c>
    </row>
    <row r="42" spans="2:34" ht="15" customHeight="1" x14ac:dyDescent="0.25">
      <c r="B42" s="77" t="s">
        <v>223</v>
      </c>
      <c r="C42" s="48" t="s">
        <v>224</v>
      </c>
      <c r="D42" s="207"/>
      <c r="E42" s="207"/>
      <c r="F42" s="207"/>
      <c r="G42" s="207"/>
      <c r="H42" s="207"/>
      <c r="I42" s="207"/>
      <c r="J42" s="207"/>
      <c r="K42" s="207"/>
      <c r="L42" s="207"/>
      <c r="M42" s="207"/>
      <c r="N42" s="207"/>
      <c r="O42" s="207"/>
      <c r="P42" s="208">
        <f t="shared" si="5"/>
        <v>0</v>
      </c>
      <c r="Q42" s="214" t="str">
        <f t="shared" si="1"/>
        <v/>
      </c>
      <c r="S42" s="3">
        <f t="shared" si="6"/>
        <v>0</v>
      </c>
      <c r="T42" s="3">
        <f t="shared" si="7"/>
        <v>0</v>
      </c>
      <c r="U42" s="3">
        <f t="shared" si="8"/>
        <v>0</v>
      </c>
      <c r="V42" s="3">
        <f t="shared" si="9"/>
        <v>0</v>
      </c>
      <c r="W42" s="3">
        <f t="shared" si="10"/>
        <v>0</v>
      </c>
      <c r="X42" s="3">
        <f t="shared" si="11"/>
        <v>0</v>
      </c>
      <c r="Y42" s="3">
        <f t="shared" si="12"/>
        <v>0</v>
      </c>
      <c r="Z42" s="3">
        <f t="shared" si="13"/>
        <v>0</v>
      </c>
      <c r="AA42" s="3">
        <f t="shared" si="14"/>
        <v>0</v>
      </c>
      <c r="AB42" s="3">
        <f t="shared" si="15"/>
        <v>0</v>
      </c>
      <c r="AC42" s="3">
        <f t="shared" si="16"/>
        <v>0</v>
      </c>
      <c r="AD42" s="3">
        <f t="shared" si="17"/>
        <v>0</v>
      </c>
      <c r="AE42" s="3">
        <f t="shared" si="18"/>
        <v>0</v>
      </c>
      <c r="AF42" s="3" t="str">
        <f t="shared" si="19"/>
        <v>max14</v>
      </c>
      <c r="AG42" s="3" t="str">
        <f t="shared" si="20"/>
        <v>max14</v>
      </c>
      <c r="AH42" s="3" t="str">
        <f t="shared" si="21"/>
        <v>max14</v>
      </c>
    </row>
    <row r="43" spans="2:34" ht="15" customHeight="1" x14ac:dyDescent="0.25">
      <c r="B43" s="77" t="s">
        <v>225</v>
      </c>
      <c r="C43" s="48" t="s">
        <v>226</v>
      </c>
      <c r="D43" s="207"/>
      <c r="E43" s="207"/>
      <c r="F43" s="207"/>
      <c r="G43" s="207"/>
      <c r="H43" s="207"/>
      <c r="I43" s="207"/>
      <c r="J43" s="207"/>
      <c r="K43" s="207"/>
      <c r="L43" s="207"/>
      <c r="M43" s="207"/>
      <c r="N43" s="207"/>
      <c r="O43" s="207"/>
      <c r="P43" s="208">
        <f t="shared" si="5"/>
        <v>0</v>
      </c>
      <c r="Q43" s="214" t="str">
        <f t="shared" si="1"/>
        <v/>
      </c>
      <c r="S43" s="3">
        <f t="shared" si="6"/>
        <v>0</v>
      </c>
      <c r="T43" s="3">
        <f t="shared" si="7"/>
        <v>0</v>
      </c>
      <c r="U43" s="3">
        <f t="shared" si="8"/>
        <v>0</v>
      </c>
      <c r="V43" s="3">
        <f t="shared" si="9"/>
        <v>0</v>
      </c>
      <c r="W43" s="3">
        <f t="shared" si="10"/>
        <v>0</v>
      </c>
      <c r="X43" s="3">
        <f t="shared" si="11"/>
        <v>0</v>
      </c>
      <c r="Y43" s="3">
        <f t="shared" si="12"/>
        <v>0</v>
      </c>
      <c r="Z43" s="3">
        <f t="shared" si="13"/>
        <v>0</v>
      </c>
      <c r="AA43" s="3">
        <f t="shared" si="14"/>
        <v>0</v>
      </c>
      <c r="AB43" s="3">
        <f t="shared" si="15"/>
        <v>0</v>
      </c>
      <c r="AC43" s="3">
        <f t="shared" si="16"/>
        <v>0</v>
      </c>
      <c r="AD43" s="3">
        <f t="shared" si="17"/>
        <v>0</v>
      </c>
      <c r="AE43" s="3">
        <f t="shared" si="18"/>
        <v>0</v>
      </c>
      <c r="AF43" s="3" t="str">
        <f t="shared" si="19"/>
        <v>max14</v>
      </c>
      <c r="AG43" s="3" t="str">
        <f t="shared" si="20"/>
        <v>max14</v>
      </c>
      <c r="AH43" s="3" t="str">
        <f t="shared" si="21"/>
        <v>max14</v>
      </c>
    </row>
    <row r="44" spans="2:34" ht="15" customHeight="1" x14ac:dyDescent="0.25">
      <c r="B44" s="77" t="s">
        <v>227</v>
      </c>
      <c r="C44" s="48" t="s">
        <v>228</v>
      </c>
      <c r="D44" s="207"/>
      <c r="E44" s="207">
        <v>1000</v>
      </c>
      <c r="F44" s="207"/>
      <c r="G44" s="207">
        <v>12000</v>
      </c>
      <c r="H44" s="207">
        <v>13209.4</v>
      </c>
      <c r="I44" s="207"/>
      <c r="J44" s="207"/>
      <c r="K44" s="207"/>
      <c r="L44" s="207"/>
      <c r="M44" s="207"/>
      <c r="N44" s="207"/>
      <c r="O44" s="207"/>
      <c r="P44" s="208">
        <f t="shared" si="5"/>
        <v>26209.4</v>
      </c>
      <c r="Q44" s="214">
        <f t="shared" si="1"/>
        <v>1.1841166666666667</v>
      </c>
      <c r="S44" s="3">
        <f t="shared" si="6"/>
        <v>26209.4</v>
      </c>
      <c r="T44" s="3">
        <f t="shared" si="7"/>
        <v>26209.4</v>
      </c>
      <c r="U44" s="3">
        <f t="shared" si="8"/>
        <v>26209.4</v>
      </c>
      <c r="V44" s="3">
        <f t="shared" si="9"/>
        <v>26209.4</v>
      </c>
      <c r="W44" s="3">
        <f t="shared" si="10"/>
        <v>26209.4</v>
      </c>
      <c r="X44" s="3" t="str">
        <f t="shared" si="11"/>
        <v>max6</v>
      </c>
      <c r="Y44" s="3" t="str">
        <f t="shared" si="12"/>
        <v>max6</v>
      </c>
      <c r="Z44" s="3" t="str">
        <f t="shared" si="13"/>
        <v>max6</v>
      </c>
      <c r="AA44" s="3" t="str">
        <f t="shared" si="14"/>
        <v>max6</v>
      </c>
      <c r="AB44" s="3" t="str">
        <f t="shared" si="15"/>
        <v>max6</v>
      </c>
      <c r="AC44" s="3" t="str">
        <f t="shared" si="16"/>
        <v>max6</v>
      </c>
      <c r="AD44" s="3" t="str">
        <f t="shared" si="17"/>
        <v>max6</v>
      </c>
      <c r="AE44" s="3" t="str">
        <f t="shared" si="18"/>
        <v>max6</v>
      </c>
      <c r="AF44" s="3" t="str">
        <f t="shared" si="19"/>
        <v>max6</v>
      </c>
      <c r="AG44" s="3" t="str">
        <f t="shared" si="20"/>
        <v>max6</v>
      </c>
      <c r="AH44" s="3" t="str">
        <f t="shared" si="21"/>
        <v>max6</v>
      </c>
    </row>
    <row r="45" spans="2:34" ht="15" customHeight="1" x14ac:dyDescent="0.25">
      <c r="B45" s="77" t="s">
        <v>229</v>
      </c>
      <c r="C45" s="48" t="s">
        <v>230</v>
      </c>
      <c r="D45" s="207"/>
      <c r="E45" s="207"/>
      <c r="F45" s="207"/>
      <c r="G45" s="207"/>
      <c r="H45" s="207"/>
      <c r="I45" s="207"/>
      <c r="J45" s="207"/>
      <c r="K45" s="207"/>
      <c r="L45" s="207"/>
      <c r="M45" s="207"/>
      <c r="N45" s="207"/>
      <c r="O45" s="207"/>
      <c r="P45" s="208">
        <f t="shared" si="5"/>
        <v>0</v>
      </c>
      <c r="Q45" s="214" t="str">
        <f t="shared" si="1"/>
        <v/>
      </c>
      <c r="S45" s="3">
        <f t="shared" si="6"/>
        <v>0</v>
      </c>
      <c r="T45" s="3">
        <f t="shared" si="7"/>
        <v>0</v>
      </c>
      <c r="U45" s="3">
        <f t="shared" si="8"/>
        <v>0</v>
      </c>
      <c r="V45" s="3">
        <f t="shared" si="9"/>
        <v>0</v>
      </c>
      <c r="W45" s="3">
        <f t="shared" si="10"/>
        <v>0</v>
      </c>
      <c r="X45" s="3">
        <f t="shared" si="11"/>
        <v>0</v>
      </c>
      <c r="Y45" s="3">
        <f t="shared" si="12"/>
        <v>0</v>
      </c>
      <c r="Z45" s="3">
        <f t="shared" si="13"/>
        <v>0</v>
      </c>
      <c r="AA45" s="3">
        <f t="shared" si="14"/>
        <v>0</v>
      </c>
      <c r="AB45" s="3">
        <f t="shared" si="15"/>
        <v>0</v>
      </c>
      <c r="AC45" s="3">
        <f t="shared" si="16"/>
        <v>0</v>
      </c>
      <c r="AD45" s="3">
        <f t="shared" si="17"/>
        <v>0</v>
      </c>
      <c r="AE45" s="3">
        <f t="shared" si="18"/>
        <v>0</v>
      </c>
      <c r="AF45" s="3" t="str">
        <f t="shared" si="19"/>
        <v>max14</v>
      </c>
      <c r="AG45" s="3" t="str">
        <f t="shared" si="20"/>
        <v>max14</v>
      </c>
      <c r="AH45" s="3" t="str">
        <f t="shared" si="21"/>
        <v>max14</v>
      </c>
    </row>
    <row r="46" spans="2:34" ht="15" customHeight="1" x14ac:dyDescent="0.25">
      <c r="B46" s="77" t="s">
        <v>231</v>
      </c>
      <c r="C46" s="48" t="s">
        <v>232</v>
      </c>
      <c r="D46" s="207"/>
      <c r="E46" s="207"/>
      <c r="F46" s="207"/>
      <c r="G46" s="207"/>
      <c r="H46" s="207"/>
      <c r="I46" s="207"/>
      <c r="J46" s="207"/>
      <c r="K46" s="207"/>
      <c r="L46" s="207"/>
      <c r="M46" s="207"/>
      <c r="N46" s="207"/>
      <c r="O46" s="207"/>
      <c r="P46" s="208">
        <f t="shared" si="5"/>
        <v>0</v>
      </c>
      <c r="Q46" s="214" t="str">
        <f t="shared" si="1"/>
        <v/>
      </c>
      <c r="S46" s="3">
        <f t="shared" si="6"/>
        <v>0</v>
      </c>
      <c r="T46" s="3">
        <f t="shared" si="7"/>
        <v>0</v>
      </c>
      <c r="U46" s="3">
        <f t="shared" si="8"/>
        <v>0</v>
      </c>
      <c r="V46" s="3">
        <f t="shared" si="9"/>
        <v>0</v>
      </c>
      <c r="W46" s="3">
        <f t="shared" si="10"/>
        <v>0</v>
      </c>
      <c r="X46" s="3">
        <f t="shared" si="11"/>
        <v>0</v>
      </c>
      <c r="Y46" s="3">
        <f t="shared" si="12"/>
        <v>0</v>
      </c>
      <c r="Z46" s="3">
        <f t="shared" si="13"/>
        <v>0</v>
      </c>
      <c r="AA46" s="3">
        <f t="shared" si="14"/>
        <v>0</v>
      </c>
      <c r="AB46" s="3">
        <f t="shared" si="15"/>
        <v>0</v>
      </c>
      <c r="AC46" s="3">
        <f t="shared" si="16"/>
        <v>0</v>
      </c>
      <c r="AD46" s="3">
        <f t="shared" si="17"/>
        <v>0</v>
      </c>
      <c r="AE46" s="3">
        <f t="shared" si="18"/>
        <v>0</v>
      </c>
      <c r="AF46" s="3" t="str">
        <f t="shared" si="19"/>
        <v>max14</v>
      </c>
      <c r="AG46" s="3" t="str">
        <f t="shared" si="20"/>
        <v>max14</v>
      </c>
      <c r="AH46" s="3" t="str">
        <f t="shared" si="21"/>
        <v>max14</v>
      </c>
    </row>
    <row r="47" spans="2:34" ht="15" customHeight="1" x14ac:dyDescent="0.25">
      <c r="B47" s="77" t="s">
        <v>233</v>
      </c>
      <c r="C47" s="48" t="s">
        <v>234</v>
      </c>
      <c r="D47" s="207"/>
      <c r="E47" s="207"/>
      <c r="F47" s="207"/>
      <c r="G47" s="207"/>
      <c r="H47" s="207"/>
      <c r="I47" s="207"/>
      <c r="J47" s="207"/>
      <c r="K47" s="207"/>
      <c r="L47" s="207"/>
      <c r="M47" s="207"/>
      <c r="N47" s="207"/>
      <c r="O47" s="207"/>
      <c r="P47" s="208">
        <f t="shared" si="5"/>
        <v>0</v>
      </c>
      <c r="Q47" s="214" t="str">
        <f t="shared" si="1"/>
        <v/>
      </c>
      <c r="S47" s="3">
        <f t="shared" si="6"/>
        <v>0</v>
      </c>
      <c r="T47" s="3">
        <f t="shared" si="7"/>
        <v>0</v>
      </c>
      <c r="U47" s="3">
        <f t="shared" si="8"/>
        <v>0</v>
      </c>
      <c r="V47" s="3">
        <f t="shared" si="9"/>
        <v>0</v>
      </c>
      <c r="W47" s="3">
        <f t="shared" si="10"/>
        <v>0</v>
      </c>
      <c r="X47" s="3">
        <f t="shared" si="11"/>
        <v>0</v>
      </c>
      <c r="Y47" s="3">
        <f t="shared" si="12"/>
        <v>0</v>
      </c>
      <c r="Z47" s="3">
        <f t="shared" si="13"/>
        <v>0</v>
      </c>
      <c r="AA47" s="3">
        <f t="shared" si="14"/>
        <v>0</v>
      </c>
      <c r="AB47" s="3">
        <f t="shared" si="15"/>
        <v>0</v>
      </c>
      <c r="AC47" s="3">
        <f t="shared" si="16"/>
        <v>0</v>
      </c>
      <c r="AD47" s="3">
        <f t="shared" si="17"/>
        <v>0</v>
      </c>
      <c r="AE47" s="3">
        <f t="shared" si="18"/>
        <v>0</v>
      </c>
      <c r="AF47" s="3" t="str">
        <f t="shared" si="19"/>
        <v>max14</v>
      </c>
      <c r="AG47" s="3" t="str">
        <f t="shared" si="20"/>
        <v>max14</v>
      </c>
      <c r="AH47" s="3" t="str">
        <f t="shared" si="21"/>
        <v>max14</v>
      </c>
    </row>
    <row r="48" spans="2:34" ht="15" customHeight="1" x14ac:dyDescent="0.25">
      <c r="B48" s="77" t="s">
        <v>235</v>
      </c>
      <c r="C48" s="48" t="s">
        <v>236</v>
      </c>
      <c r="D48" s="207"/>
      <c r="E48" s="207"/>
      <c r="F48" s="207">
        <v>20679.490000000002</v>
      </c>
      <c r="G48" s="207"/>
      <c r="H48" s="207"/>
      <c r="I48" s="207">
        <v>150000</v>
      </c>
      <c r="J48" s="207"/>
      <c r="K48" s="207"/>
      <c r="L48" s="207"/>
      <c r="M48" s="207"/>
      <c r="N48" s="207"/>
      <c r="O48" s="207"/>
      <c r="P48" s="208">
        <f t="shared" si="5"/>
        <v>170679.49</v>
      </c>
      <c r="Q48" s="214" t="str">
        <f t="shared" si="1"/>
        <v/>
      </c>
      <c r="S48" s="3">
        <f t="shared" si="6"/>
        <v>170679.49</v>
      </c>
      <c r="T48" s="3" t="str">
        <f t="shared" si="7"/>
        <v>max2</v>
      </c>
      <c r="U48" s="3" t="str">
        <f t="shared" si="8"/>
        <v>max2</v>
      </c>
      <c r="V48" s="3" t="str">
        <f t="shared" si="9"/>
        <v>max2</v>
      </c>
      <c r="W48" s="3" t="str">
        <f t="shared" si="10"/>
        <v>max2</v>
      </c>
      <c r="X48" s="3" t="str">
        <f t="shared" si="11"/>
        <v>max2</v>
      </c>
      <c r="Y48" s="3" t="str">
        <f t="shared" si="12"/>
        <v>max2</v>
      </c>
      <c r="Z48" s="3" t="str">
        <f t="shared" si="13"/>
        <v>max2</v>
      </c>
      <c r="AA48" s="3" t="str">
        <f t="shared" si="14"/>
        <v>max2</v>
      </c>
      <c r="AB48" s="3" t="str">
        <f t="shared" si="15"/>
        <v>max2</v>
      </c>
      <c r="AC48" s="3" t="str">
        <f t="shared" si="16"/>
        <v>max2</v>
      </c>
      <c r="AD48" s="3" t="str">
        <f t="shared" si="17"/>
        <v>max2</v>
      </c>
      <c r="AE48" s="3" t="str">
        <f t="shared" si="18"/>
        <v>max2</v>
      </c>
      <c r="AF48" s="3" t="str">
        <f t="shared" si="19"/>
        <v>max2</v>
      </c>
      <c r="AG48" s="3" t="str">
        <f t="shared" si="20"/>
        <v>max2</v>
      </c>
      <c r="AH48" s="3" t="str">
        <f t="shared" si="21"/>
        <v>max2</v>
      </c>
    </row>
    <row r="49" spans="2:34" ht="15" customHeight="1" x14ac:dyDescent="0.25">
      <c r="B49" s="77" t="s">
        <v>237</v>
      </c>
      <c r="C49" s="48" t="s">
        <v>238</v>
      </c>
      <c r="D49" s="207"/>
      <c r="E49" s="207">
        <v>3861</v>
      </c>
      <c r="F49" s="207">
        <v>9077</v>
      </c>
      <c r="G49" s="207"/>
      <c r="H49" s="207">
        <v>10497.44</v>
      </c>
      <c r="I49" s="207"/>
      <c r="J49" s="207"/>
      <c r="K49" s="207"/>
      <c r="L49" s="207"/>
      <c r="M49" s="207"/>
      <c r="N49" s="207"/>
      <c r="O49" s="207"/>
      <c r="P49" s="208">
        <f t="shared" si="5"/>
        <v>23435.440000000002</v>
      </c>
      <c r="Q49" s="214" t="str">
        <f t="shared" si="1"/>
        <v/>
      </c>
      <c r="S49" s="3">
        <f t="shared" si="6"/>
        <v>23435.440000000002</v>
      </c>
      <c r="T49" s="3">
        <f t="shared" si="7"/>
        <v>23435.440000000002</v>
      </c>
      <c r="U49" s="3">
        <f t="shared" si="8"/>
        <v>23435.440000000002</v>
      </c>
      <c r="V49" s="3">
        <f t="shared" si="9"/>
        <v>23435.440000000002</v>
      </c>
      <c r="W49" s="3">
        <f t="shared" si="10"/>
        <v>23435.440000000002</v>
      </c>
      <c r="X49" s="3">
        <f t="shared" si="11"/>
        <v>23435.440000000002</v>
      </c>
      <c r="Y49" s="3">
        <f t="shared" si="12"/>
        <v>23435.440000000002</v>
      </c>
      <c r="Z49" s="3" t="str">
        <f t="shared" si="13"/>
        <v>max8</v>
      </c>
      <c r="AA49" s="3" t="str">
        <f t="shared" si="14"/>
        <v>max8</v>
      </c>
      <c r="AB49" s="3" t="str">
        <f t="shared" si="15"/>
        <v>max8</v>
      </c>
      <c r="AC49" s="3" t="str">
        <f t="shared" si="16"/>
        <v>max8</v>
      </c>
      <c r="AD49" s="3" t="str">
        <f t="shared" si="17"/>
        <v>max8</v>
      </c>
      <c r="AE49" s="3" t="str">
        <f t="shared" si="18"/>
        <v>max8</v>
      </c>
      <c r="AF49" s="3" t="str">
        <f t="shared" si="19"/>
        <v>max8</v>
      </c>
      <c r="AG49" s="3" t="str">
        <f t="shared" si="20"/>
        <v>max8</v>
      </c>
      <c r="AH49" s="3" t="str">
        <f t="shared" si="21"/>
        <v>max8</v>
      </c>
    </row>
    <row r="50" spans="2:34" ht="15" customHeight="1" x14ac:dyDescent="0.25">
      <c r="B50" s="77" t="s">
        <v>239</v>
      </c>
      <c r="C50" s="48" t="s">
        <v>240</v>
      </c>
      <c r="D50" s="207"/>
      <c r="E50" s="207">
        <v>17150</v>
      </c>
      <c r="F50" s="207"/>
      <c r="G50" s="207"/>
      <c r="H50" s="207"/>
      <c r="I50" s="207"/>
      <c r="J50" s="207"/>
      <c r="K50" s="207"/>
      <c r="L50" s="207"/>
      <c r="M50" s="207"/>
      <c r="N50" s="207"/>
      <c r="O50" s="207"/>
      <c r="P50" s="208">
        <f t="shared" si="5"/>
        <v>17150</v>
      </c>
      <c r="Q50" s="214" t="str">
        <f t="shared" si="1"/>
        <v/>
      </c>
      <c r="S50" s="3">
        <f t="shared" si="6"/>
        <v>17150</v>
      </c>
      <c r="T50" s="3">
        <f t="shared" si="7"/>
        <v>17150</v>
      </c>
      <c r="U50" s="3">
        <f t="shared" si="8"/>
        <v>17150</v>
      </c>
      <c r="V50" s="3">
        <f t="shared" si="9"/>
        <v>17150</v>
      </c>
      <c r="W50" s="3">
        <f t="shared" si="10"/>
        <v>17150</v>
      </c>
      <c r="X50" s="3">
        <f t="shared" si="11"/>
        <v>17150</v>
      </c>
      <c r="Y50" s="3">
        <f t="shared" si="12"/>
        <v>17150</v>
      </c>
      <c r="Z50" s="3">
        <f t="shared" si="13"/>
        <v>17150</v>
      </c>
      <c r="AA50" s="3">
        <f t="shared" si="14"/>
        <v>17150</v>
      </c>
      <c r="AB50" s="3">
        <f t="shared" si="15"/>
        <v>17150</v>
      </c>
      <c r="AC50" s="3" t="str">
        <f t="shared" si="16"/>
        <v>max11</v>
      </c>
      <c r="AD50" s="3" t="str">
        <f t="shared" si="17"/>
        <v>max11</v>
      </c>
      <c r="AE50" s="3" t="str">
        <f t="shared" si="18"/>
        <v>max11</v>
      </c>
      <c r="AF50" s="3" t="str">
        <f t="shared" si="19"/>
        <v>max11</v>
      </c>
      <c r="AG50" s="3" t="str">
        <f t="shared" si="20"/>
        <v>max11</v>
      </c>
      <c r="AH50" s="3" t="str">
        <f t="shared" si="21"/>
        <v>max11</v>
      </c>
    </row>
    <row r="51" spans="2:34" ht="15" customHeight="1" x14ac:dyDescent="0.25">
      <c r="B51" s="77" t="s">
        <v>241</v>
      </c>
      <c r="C51" s="48" t="s">
        <v>242</v>
      </c>
      <c r="D51" s="207">
        <v>315000</v>
      </c>
      <c r="E51" s="207"/>
      <c r="F51" s="207">
        <v>250000</v>
      </c>
      <c r="G51" s="207">
        <v>150000</v>
      </c>
      <c r="H51" s="207">
        <v>300000</v>
      </c>
      <c r="I51" s="207"/>
      <c r="J51" s="207">
        <v>717000</v>
      </c>
      <c r="K51" s="207"/>
      <c r="L51" s="207"/>
      <c r="M51" s="207"/>
      <c r="N51" s="207"/>
      <c r="O51" s="207"/>
      <c r="P51" s="208">
        <f t="shared" si="5"/>
        <v>1732000</v>
      </c>
      <c r="Q51" s="214">
        <f t="shared" si="1"/>
        <v>10.546666666666667</v>
      </c>
      <c r="S51" s="3" t="str">
        <f t="shared" si="6"/>
        <v>max1</v>
      </c>
      <c r="T51" s="3" t="str">
        <f t="shared" si="7"/>
        <v>max1</v>
      </c>
      <c r="U51" s="3" t="str">
        <f t="shared" si="8"/>
        <v>max1</v>
      </c>
      <c r="V51" s="3" t="str">
        <f t="shared" si="9"/>
        <v>max1</v>
      </c>
      <c r="W51" s="3" t="str">
        <f t="shared" si="10"/>
        <v>max1</v>
      </c>
      <c r="X51" s="3" t="str">
        <f t="shared" si="11"/>
        <v>max1</v>
      </c>
      <c r="Y51" s="3" t="str">
        <f t="shared" si="12"/>
        <v>max1</v>
      </c>
      <c r="Z51" s="3" t="str">
        <f t="shared" si="13"/>
        <v>max1</v>
      </c>
      <c r="AA51" s="3" t="str">
        <f t="shared" si="14"/>
        <v>max1</v>
      </c>
      <c r="AB51" s="3" t="str">
        <f t="shared" si="15"/>
        <v>max1</v>
      </c>
      <c r="AC51" s="3" t="str">
        <f t="shared" si="16"/>
        <v>max1</v>
      </c>
      <c r="AD51" s="3" t="str">
        <f t="shared" si="17"/>
        <v>max1</v>
      </c>
      <c r="AE51" s="3" t="str">
        <f t="shared" si="18"/>
        <v>max1</v>
      </c>
      <c r="AF51" s="3" t="str">
        <f t="shared" si="19"/>
        <v>max1</v>
      </c>
      <c r="AG51" s="3" t="str">
        <f t="shared" si="20"/>
        <v>max1</v>
      </c>
      <c r="AH51" s="3" t="str">
        <f t="shared" si="21"/>
        <v>max1</v>
      </c>
    </row>
    <row r="52" spans="2:34" ht="15" customHeight="1" x14ac:dyDescent="0.25">
      <c r="B52" s="77" t="s">
        <v>243</v>
      </c>
      <c r="C52" s="48" t="s">
        <v>244</v>
      </c>
      <c r="D52" s="207"/>
      <c r="E52" s="207"/>
      <c r="F52" s="207"/>
      <c r="G52" s="207"/>
      <c r="H52" s="207"/>
      <c r="I52" s="207"/>
      <c r="J52" s="207"/>
      <c r="K52" s="207"/>
      <c r="L52" s="207"/>
      <c r="M52" s="207"/>
      <c r="N52" s="207"/>
      <c r="O52" s="207"/>
      <c r="P52" s="208">
        <f t="shared" si="5"/>
        <v>0</v>
      </c>
      <c r="Q52" s="214" t="str">
        <f t="shared" si="1"/>
        <v/>
      </c>
      <c r="S52" s="3">
        <f t="shared" si="6"/>
        <v>0</v>
      </c>
      <c r="T52" s="3">
        <f t="shared" si="7"/>
        <v>0</v>
      </c>
      <c r="U52" s="3">
        <f t="shared" si="8"/>
        <v>0</v>
      </c>
      <c r="V52" s="3">
        <f t="shared" si="9"/>
        <v>0</v>
      </c>
      <c r="W52" s="3">
        <f t="shared" si="10"/>
        <v>0</v>
      </c>
      <c r="X52" s="3">
        <f t="shared" si="11"/>
        <v>0</v>
      </c>
      <c r="Y52" s="3">
        <f t="shared" si="12"/>
        <v>0</v>
      </c>
      <c r="Z52" s="3">
        <f t="shared" si="13"/>
        <v>0</v>
      </c>
      <c r="AA52" s="3">
        <f t="shared" si="14"/>
        <v>0</v>
      </c>
      <c r="AB52" s="3">
        <f t="shared" si="15"/>
        <v>0</v>
      </c>
      <c r="AC52" s="3">
        <f t="shared" si="16"/>
        <v>0</v>
      </c>
      <c r="AD52" s="3">
        <f t="shared" si="17"/>
        <v>0</v>
      </c>
      <c r="AE52" s="3">
        <f t="shared" si="18"/>
        <v>0</v>
      </c>
      <c r="AF52" s="3" t="str">
        <f t="shared" si="19"/>
        <v>max14</v>
      </c>
      <c r="AG52" s="3" t="str">
        <f t="shared" si="20"/>
        <v>max14</v>
      </c>
      <c r="AH52" s="3" t="str">
        <f t="shared" si="21"/>
        <v>max14</v>
      </c>
    </row>
    <row r="53" spans="2:34" ht="15" customHeight="1" x14ac:dyDescent="0.25">
      <c r="B53" s="77" t="s">
        <v>245</v>
      </c>
      <c r="C53" s="48" t="s">
        <v>246</v>
      </c>
      <c r="D53" s="207"/>
      <c r="E53" s="207"/>
      <c r="F53" s="207"/>
      <c r="G53" s="207"/>
      <c r="H53" s="207"/>
      <c r="I53" s="207"/>
      <c r="J53" s="207"/>
      <c r="K53" s="207"/>
      <c r="L53" s="207"/>
      <c r="M53" s="207"/>
      <c r="N53" s="207"/>
      <c r="O53" s="207"/>
      <c r="P53" s="208">
        <f t="shared" si="5"/>
        <v>0</v>
      </c>
      <c r="Q53" s="214" t="str">
        <f t="shared" si="1"/>
        <v/>
      </c>
      <c r="S53" s="3">
        <f t="shared" si="6"/>
        <v>0</v>
      </c>
      <c r="T53" s="3">
        <f t="shared" si="7"/>
        <v>0</v>
      </c>
      <c r="U53" s="3">
        <f t="shared" si="8"/>
        <v>0</v>
      </c>
      <c r="V53" s="3">
        <f t="shared" si="9"/>
        <v>0</v>
      </c>
      <c r="W53" s="3">
        <f t="shared" si="10"/>
        <v>0</v>
      </c>
      <c r="X53" s="3">
        <f t="shared" si="11"/>
        <v>0</v>
      </c>
      <c r="Y53" s="3">
        <f t="shared" si="12"/>
        <v>0</v>
      </c>
      <c r="Z53" s="3">
        <f t="shared" si="13"/>
        <v>0</v>
      </c>
      <c r="AA53" s="3">
        <f t="shared" si="14"/>
        <v>0</v>
      </c>
      <c r="AB53" s="3">
        <f t="shared" si="15"/>
        <v>0</v>
      </c>
      <c r="AC53" s="3">
        <f t="shared" si="16"/>
        <v>0</v>
      </c>
      <c r="AD53" s="3">
        <f t="shared" si="17"/>
        <v>0</v>
      </c>
      <c r="AE53" s="3">
        <f t="shared" si="18"/>
        <v>0</v>
      </c>
      <c r="AF53" s="3" t="str">
        <f t="shared" si="19"/>
        <v>max14</v>
      </c>
      <c r="AG53" s="3" t="str">
        <f t="shared" si="20"/>
        <v>max14</v>
      </c>
      <c r="AH53" s="3" t="str">
        <f t="shared" si="21"/>
        <v>max14</v>
      </c>
    </row>
    <row r="54" spans="2:34" ht="15" customHeight="1" x14ac:dyDescent="0.25">
      <c r="B54" s="77" t="s">
        <v>247</v>
      </c>
      <c r="C54" s="48" t="s">
        <v>248</v>
      </c>
      <c r="D54" s="207"/>
      <c r="E54" s="207"/>
      <c r="F54" s="207">
        <v>400</v>
      </c>
      <c r="G54" s="207"/>
      <c r="H54" s="207"/>
      <c r="I54" s="207"/>
      <c r="J54" s="207"/>
      <c r="K54" s="207"/>
      <c r="L54" s="207"/>
      <c r="M54" s="207"/>
      <c r="N54" s="207"/>
      <c r="O54" s="207"/>
      <c r="P54" s="208">
        <f t="shared" si="5"/>
        <v>400</v>
      </c>
      <c r="Q54" s="214" t="str">
        <f t="shared" si="1"/>
        <v/>
      </c>
      <c r="S54" s="3">
        <f t="shared" si="6"/>
        <v>400</v>
      </c>
      <c r="T54" s="3">
        <f t="shared" si="7"/>
        <v>400</v>
      </c>
      <c r="U54" s="3">
        <f t="shared" si="8"/>
        <v>400</v>
      </c>
      <c r="V54" s="3">
        <f t="shared" si="9"/>
        <v>400</v>
      </c>
      <c r="W54" s="3">
        <f t="shared" si="10"/>
        <v>400</v>
      </c>
      <c r="X54" s="3">
        <f t="shared" si="11"/>
        <v>400</v>
      </c>
      <c r="Y54" s="3">
        <f t="shared" si="12"/>
        <v>400</v>
      </c>
      <c r="Z54" s="3">
        <f t="shared" si="13"/>
        <v>400</v>
      </c>
      <c r="AA54" s="3">
        <f t="shared" si="14"/>
        <v>400</v>
      </c>
      <c r="AB54" s="3">
        <f t="shared" si="15"/>
        <v>400</v>
      </c>
      <c r="AC54" s="3">
        <f t="shared" si="16"/>
        <v>400</v>
      </c>
      <c r="AD54" s="3">
        <f t="shared" si="17"/>
        <v>400</v>
      </c>
      <c r="AE54" s="3" t="str">
        <f t="shared" si="18"/>
        <v>max13</v>
      </c>
      <c r="AF54" s="3" t="str">
        <f t="shared" si="19"/>
        <v>max13</v>
      </c>
      <c r="AG54" s="3" t="str">
        <f t="shared" si="20"/>
        <v>max13</v>
      </c>
      <c r="AH54" s="3" t="str">
        <f t="shared" si="21"/>
        <v>max13</v>
      </c>
    </row>
    <row r="55" spans="2:34" ht="15" customHeight="1" x14ac:dyDescent="0.25">
      <c r="B55" s="77" t="s">
        <v>249</v>
      </c>
      <c r="C55" s="48" t="s">
        <v>250</v>
      </c>
      <c r="D55" s="207"/>
      <c r="E55" s="207"/>
      <c r="F55" s="207"/>
      <c r="G55" s="207"/>
      <c r="H55" s="207"/>
      <c r="I55" s="207"/>
      <c r="J55" s="207"/>
      <c r="K55" s="207"/>
      <c r="L55" s="207"/>
      <c r="M55" s="207"/>
      <c r="N55" s="207"/>
      <c r="O55" s="207"/>
      <c r="P55" s="208">
        <f t="shared" si="5"/>
        <v>0</v>
      </c>
      <c r="Q55" s="214" t="str">
        <f t="shared" si="1"/>
        <v/>
      </c>
      <c r="S55" s="3">
        <f t="shared" si="6"/>
        <v>0</v>
      </c>
      <c r="T55" s="3">
        <f t="shared" si="7"/>
        <v>0</v>
      </c>
      <c r="U55" s="3">
        <f t="shared" si="8"/>
        <v>0</v>
      </c>
      <c r="V55" s="3">
        <f t="shared" si="9"/>
        <v>0</v>
      </c>
      <c r="W55" s="3">
        <f t="shared" si="10"/>
        <v>0</v>
      </c>
      <c r="X55" s="3">
        <f t="shared" si="11"/>
        <v>0</v>
      </c>
      <c r="Y55" s="3">
        <f t="shared" si="12"/>
        <v>0</v>
      </c>
      <c r="Z55" s="3">
        <f t="shared" si="13"/>
        <v>0</v>
      </c>
      <c r="AA55" s="3">
        <f t="shared" si="14"/>
        <v>0</v>
      </c>
      <c r="AB55" s="3">
        <f t="shared" si="15"/>
        <v>0</v>
      </c>
      <c r="AC55" s="3">
        <f t="shared" si="16"/>
        <v>0</v>
      </c>
      <c r="AD55" s="3">
        <f t="shared" si="17"/>
        <v>0</v>
      </c>
      <c r="AE55" s="3">
        <f t="shared" si="18"/>
        <v>0</v>
      </c>
      <c r="AF55" s="3" t="str">
        <f t="shared" si="19"/>
        <v>max14</v>
      </c>
      <c r="AG55" s="3" t="str">
        <f t="shared" si="20"/>
        <v>max14</v>
      </c>
      <c r="AH55" s="3" t="str">
        <f t="shared" si="21"/>
        <v>max14</v>
      </c>
    </row>
    <row r="56" spans="2:34" ht="15" customHeight="1" x14ac:dyDescent="0.25">
      <c r="B56" s="77" t="s">
        <v>251</v>
      </c>
      <c r="C56" s="48" t="s">
        <v>252</v>
      </c>
      <c r="D56" s="207"/>
      <c r="E56" s="207"/>
      <c r="F56" s="207"/>
      <c r="G56" s="207"/>
      <c r="H56" s="207"/>
      <c r="I56" s="207"/>
      <c r="J56" s="207"/>
      <c r="K56" s="207"/>
      <c r="L56" s="207"/>
      <c r="M56" s="207"/>
      <c r="N56" s="207"/>
      <c r="O56" s="207"/>
      <c r="P56" s="208">
        <f t="shared" si="5"/>
        <v>0</v>
      </c>
      <c r="Q56" s="214" t="str">
        <f t="shared" si="1"/>
        <v/>
      </c>
      <c r="S56" s="3">
        <f t="shared" si="6"/>
        <v>0</v>
      </c>
      <c r="T56" s="3">
        <f t="shared" si="7"/>
        <v>0</v>
      </c>
      <c r="U56" s="3">
        <f t="shared" si="8"/>
        <v>0</v>
      </c>
      <c r="V56" s="3">
        <f t="shared" si="9"/>
        <v>0</v>
      </c>
      <c r="W56" s="3">
        <f t="shared" si="10"/>
        <v>0</v>
      </c>
      <c r="X56" s="3">
        <f t="shared" si="11"/>
        <v>0</v>
      </c>
      <c r="Y56" s="3">
        <f t="shared" si="12"/>
        <v>0</v>
      </c>
      <c r="Z56" s="3">
        <f t="shared" si="13"/>
        <v>0</v>
      </c>
      <c r="AA56" s="3">
        <f t="shared" si="14"/>
        <v>0</v>
      </c>
      <c r="AB56" s="3">
        <f t="shared" si="15"/>
        <v>0</v>
      </c>
      <c r="AC56" s="3">
        <f t="shared" si="16"/>
        <v>0</v>
      </c>
      <c r="AD56" s="3">
        <f t="shared" si="17"/>
        <v>0</v>
      </c>
      <c r="AE56" s="3">
        <f t="shared" si="18"/>
        <v>0</v>
      </c>
      <c r="AF56" s="3" t="str">
        <f t="shared" si="19"/>
        <v>max14</v>
      </c>
      <c r="AG56" s="3" t="str">
        <f t="shared" si="20"/>
        <v>max14</v>
      </c>
      <c r="AH56" s="3" t="str">
        <f t="shared" si="21"/>
        <v>max14</v>
      </c>
    </row>
    <row r="57" spans="2:34" ht="15" customHeight="1" x14ac:dyDescent="0.25">
      <c r="B57" s="77" t="s">
        <v>253</v>
      </c>
      <c r="C57" s="209"/>
      <c r="D57" s="207"/>
      <c r="E57" s="207"/>
      <c r="F57" s="207"/>
      <c r="G57" s="207"/>
      <c r="H57" s="207"/>
      <c r="I57" s="207"/>
      <c r="J57" s="207"/>
      <c r="K57" s="207"/>
      <c r="L57" s="207"/>
      <c r="M57" s="207"/>
      <c r="N57" s="207"/>
      <c r="O57" s="207"/>
      <c r="P57" s="208">
        <f t="shared" si="5"/>
        <v>0</v>
      </c>
      <c r="Q57" s="214" t="str">
        <f t="shared" si="1"/>
        <v/>
      </c>
      <c r="S57" s="3">
        <f t="shared" si="6"/>
        <v>0</v>
      </c>
      <c r="T57" s="3">
        <f t="shared" si="7"/>
        <v>0</v>
      </c>
      <c r="U57" s="3">
        <f t="shared" si="8"/>
        <v>0</v>
      </c>
      <c r="V57" s="3">
        <f t="shared" si="9"/>
        <v>0</v>
      </c>
      <c r="W57" s="3">
        <f t="shared" si="10"/>
        <v>0</v>
      </c>
      <c r="X57" s="3">
        <f t="shared" si="11"/>
        <v>0</v>
      </c>
      <c r="Y57" s="3">
        <f t="shared" si="12"/>
        <v>0</v>
      </c>
      <c r="Z57" s="3">
        <f t="shared" si="13"/>
        <v>0</v>
      </c>
      <c r="AA57" s="3">
        <f t="shared" si="14"/>
        <v>0</v>
      </c>
      <c r="AB57" s="3">
        <f t="shared" si="15"/>
        <v>0</v>
      </c>
      <c r="AC57" s="3">
        <f t="shared" si="16"/>
        <v>0</v>
      </c>
      <c r="AD57" s="3">
        <f t="shared" si="17"/>
        <v>0</v>
      </c>
      <c r="AE57" s="3">
        <f t="shared" si="18"/>
        <v>0</v>
      </c>
      <c r="AF57" s="3" t="str">
        <f t="shared" si="19"/>
        <v>max14</v>
      </c>
      <c r="AG57" s="3" t="str">
        <f t="shared" si="20"/>
        <v>max14</v>
      </c>
      <c r="AH57" s="3" t="str">
        <f t="shared" si="21"/>
        <v>max14</v>
      </c>
    </row>
    <row r="58" spans="2:34" ht="15" customHeight="1" x14ac:dyDescent="0.25">
      <c r="B58" s="77" t="s">
        <v>254</v>
      </c>
      <c r="C58" s="209"/>
      <c r="D58" s="207"/>
      <c r="E58" s="207"/>
      <c r="F58" s="207"/>
      <c r="G58" s="207"/>
      <c r="H58" s="207"/>
      <c r="I58" s="207"/>
      <c r="J58" s="207"/>
      <c r="K58" s="207"/>
      <c r="L58" s="207"/>
      <c r="M58" s="207"/>
      <c r="N58" s="207"/>
      <c r="O58" s="207"/>
      <c r="P58" s="208">
        <f t="shared" si="5"/>
        <v>0</v>
      </c>
      <c r="Q58" s="214" t="str">
        <f t="shared" si="1"/>
        <v/>
      </c>
      <c r="S58" s="3">
        <f t="shared" si="6"/>
        <v>0</v>
      </c>
      <c r="T58" s="3">
        <f t="shared" si="7"/>
        <v>0</v>
      </c>
      <c r="U58" s="3">
        <f t="shared" si="8"/>
        <v>0</v>
      </c>
      <c r="V58" s="3">
        <f t="shared" si="9"/>
        <v>0</v>
      </c>
      <c r="W58" s="3">
        <f t="shared" si="10"/>
        <v>0</v>
      </c>
      <c r="X58" s="3">
        <f t="shared" si="11"/>
        <v>0</v>
      </c>
      <c r="Y58" s="3">
        <f t="shared" si="12"/>
        <v>0</v>
      </c>
      <c r="Z58" s="3">
        <f t="shared" si="13"/>
        <v>0</v>
      </c>
      <c r="AA58" s="3">
        <f t="shared" si="14"/>
        <v>0</v>
      </c>
      <c r="AB58" s="3">
        <f t="shared" si="15"/>
        <v>0</v>
      </c>
      <c r="AC58" s="3">
        <f t="shared" si="16"/>
        <v>0</v>
      </c>
      <c r="AD58" s="3">
        <f t="shared" si="17"/>
        <v>0</v>
      </c>
      <c r="AE58" s="3">
        <f t="shared" si="18"/>
        <v>0</v>
      </c>
      <c r="AF58" s="3" t="str">
        <f t="shared" si="19"/>
        <v>max14</v>
      </c>
      <c r="AG58" s="3" t="str">
        <f t="shared" si="20"/>
        <v>max14</v>
      </c>
      <c r="AH58" s="3" t="str">
        <f t="shared" si="21"/>
        <v>max14</v>
      </c>
    </row>
    <row r="59" spans="2:34" ht="15" customHeight="1" x14ac:dyDescent="0.25">
      <c r="B59" s="77" t="s">
        <v>255</v>
      </c>
      <c r="C59" s="48" t="s">
        <v>256</v>
      </c>
      <c r="D59" s="207"/>
      <c r="E59" s="207"/>
      <c r="F59" s="207"/>
      <c r="G59" s="207"/>
      <c r="H59" s="207"/>
      <c r="I59" s="207"/>
      <c r="J59" s="207"/>
      <c r="K59" s="207"/>
      <c r="L59" s="207"/>
      <c r="M59" s="207"/>
      <c r="N59" s="207"/>
      <c r="O59" s="207"/>
      <c r="P59" s="208">
        <f t="shared" si="5"/>
        <v>0</v>
      </c>
      <c r="Q59" s="214" t="str">
        <f t="shared" si="1"/>
        <v/>
      </c>
      <c r="S59" s="3">
        <f t="shared" si="6"/>
        <v>0</v>
      </c>
      <c r="T59" s="3">
        <f t="shared" si="7"/>
        <v>0</v>
      </c>
      <c r="U59" s="3">
        <f t="shared" si="8"/>
        <v>0</v>
      </c>
      <c r="V59" s="3">
        <f t="shared" si="9"/>
        <v>0</v>
      </c>
      <c r="W59" s="3">
        <f t="shared" si="10"/>
        <v>0</v>
      </c>
      <c r="X59" s="3">
        <f t="shared" si="11"/>
        <v>0</v>
      </c>
      <c r="Y59" s="3">
        <f t="shared" si="12"/>
        <v>0</v>
      </c>
      <c r="Z59" s="3">
        <f t="shared" si="13"/>
        <v>0</v>
      </c>
      <c r="AA59" s="3">
        <f t="shared" si="14"/>
        <v>0</v>
      </c>
      <c r="AB59" s="3">
        <f t="shared" si="15"/>
        <v>0</v>
      </c>
      <c r="AC59" s="3">
        <f t="shared" si="16"/>
        <v>0</v>
      </c>
      <c r="AD59" s="3">
        <f t="shared" si="17"/>
        <v>0</v>
      </c>
      <c r="AE59" s="3">
        <f t="shared" si="18"/>
        <v>0</v>
      </c>
      <c r="AF59" s="3" t="str">
        <f t="shared" si="19"/>
        <v>max14</v>
      </c>
      <c r="AG59" s="3" t="str">
        <f t="shared" si="20"/>
        <v>max14</v>
      </c>
      <c r="AH59" s="3" t="str">
        <f t="shared" si="21"/>
        <v>max14</v>
      </c>
    </row>
    <row r="60" spans="2:34" ht="15" customHeight="1" x14ac:dyDescent="0.25">
      <c r="B60" s="210"/>
      <c r="C60" s="209"/>
      <c r="D60" s="207"/>
      <c r="E60" s="207"/>
      <c r="F60" s="207"/>
      <c r="G60" s="207"/>
      <c r="H60" s="207"/>
      <c r="I60" s="207"/>
      <c r="J60" s="207"/>
      <c r="K60" s="207"/>
      <c r="L60" s="207"/>
      <c r="M60" s="207"/>
      <c r="N60" s="207"/>
      <c r="O60" s="207"/>
      <c r="P60" s="208">
        <f t="shared" si="5"/>
        <v>0</v>
      </c>
      <c r="Q60" s="214" t="str">
        <f t="shared" si="1"/>
        <v/>
      </c>
      <c r="S60" s="3">
        <f t="shared" si="6"/>
        <v>0</v>
      </c>
      <c r="T60" s="3">
        <f t="shared" si="7"/>
        <v>0</v>
      </c>
      <c r="U60" s="3">
        <f t="shared" si="8"/>
        <v>0</v>
      </c>
      <c r="V60" s="3">
        <f t="shared" si="9"/>
        <v>0</v>
      </c>
      <c r="W60" s="3">
        <f t="shared" si="10"/>
        <v>0</v>
      </c>
      <c r="X60" s="3">
        <f t="shared" si="11"/>
        <v>0</v>
      </c>
      <c r="Y60" s="3">
        <f t="shared" si="12"/>
        <v>0</v>
      </c>
      <c r="Z60" s="3">
        <f t="shared" si="13"/>
        <v>0</v>
      </c>
      <c r="AA60" s="3">
        <f t="shared" si="14"/>
        <v>0</v>
      </c>
      <c r="AB60" s="3">
        <f t="shared" si="15"/>
        <v>0</v>
      </c>
      <c r="AC60" s="3">
        <f t="shared" si="16"/>
        <v>0</v>
      </c>
      <c r="AD60" s="3">
        <f t="shared" si="17"/>
        <v>0</v>
      </c>
      <c r="AE60" s="3">
        <f t="shared" si="18"/>
        <v>0</v>
      </c>
      <c r="AF60" s="3" t="str">
        <f t="shared" si="19"/>
        <v>max14</v>
      </c>
      <c r="AG60" s="3" t="str">
        <f t="shared" si="20"/>
        <v>max14</v>
      </c>
      <c r="AH60" s="3" t="str">
        <f t="shared" si="21"/>
        <v>max14</v>
      </c>
    </row>
    <row r="61" spans="2:34" ht="15" customHeight="1" x14ac:dyDescent="0.25">
      <c r="B61" s="210"/>
      <c r="C61" s="209"/>
      <c r="D61" s="207"/>
      <c r="E61" s="207"/>
      <c r="F61" s="207"/>
      <c r="G61" s="207"/>
      <c r="H61" s="207"/>
      <c r="I61" s="207"/>
      <c r="J61" s="207"/>
      <c r="K61" s="207"/>
      <c r="L61" s="207"/>
      <c r="M61" s="207"/>
      <c r="N61" s="207"/>
      <c r="O61" s="207"/>
      <c r="P61" s="208">
        <f t="shared" si="5"/>
        <v>0</v>
      </c>
      <c r="Q61" s="214" t="str">
        <f t="shared" si="1"/>
        <v/>
      </c>
      <c r="S61" s="3">
        <f t="shared" si="6"/>
        <v>0</v>
      </c>
      <c r="T61" s="3">
        <f t="shared" si="7"/>
        <v>0</v>
      </c>
      <c r="U61" s="3">
        <f t="shared" si="8"/>
        <v>0</v>
      </c>
      <c r="V61" s="3">
        <f t="shared" si="9"/>
        <v>0</v>
      </c>
      <c r="W61" s="3">
        <f t="shared" si="10"/>
        <v>0</v>
      </c>
      <c r="X61" s="3">
        <f t="shared" si="11"/>
        <v>0</v>
      </c>
      <c r="Y61" s="3">
        <f t="shared" si="12"/>
        <v>0</v>
      </c>
      <c r="Z61" s="3">
        <f t="shared" si="13"/>
        <v>0</v>
      </c>
      <c r="AA61" s="3">
        <f t="shared" si="14"/>
        <v>0</v>
      </c>
      <c r="AB61" s="3">
        <f t="shared" si="15"/>
        <v>0</v>
      </c>
      <c r="AC61" s="3">
        <f t="shared" si="16"/>
        <v>0</v>
      </c>
      <c r="AD61" s="3">
        <f t="shared" si="17"/>
        <v>0</v>
      </c>
      <c r="AE61" s="3">
        <f t="shared" si="18"/>
        <v>0</v>
      </c>
      <c r="AF61" s="3" t="str">
        <f t="shared" si="19"/>
        <v>max14</v>
      </c>
      <c r="AG61" s="3" t="str">
        <f t="shared" si="20"/>
        <v>max14</v>
      </c>
      <c r="AH61" s="3" t="str">
        <f t="shared" si="21"/>
        <v>max14</v>
      </c>
    </row>
    <row r="62" spans="2:34" ht="15" customHeight="1" x14ac:dyDescent="0.25">
      <c r="B62" s="210"/>
      <c r="C62" s="209"/>
      <c r="D62" s="207"/>
      <c r="E62" s="207"/>
      <c r="F62" s="207"/>
      <c r="G62" s="207"/>
      <c r="H62" s="207"/>
      <c r="I62" s="207"/>
      <c r="J62" s="207"/>
      <c r="K62" s="207"/>
      <c r="L62" s="207"/>
      <c r="M62" s="207"/>
      <c r="N62" s="207"/>
      <c r="O62" s="207"/>
      <c r="P62" s="208"/>
      <c r="Q62" s="214" t="str">
        <f t="shared" si="1"/>
        <v/>
      </c>
      <c r="S62" s="3">
        <f t="shared" si="6"/>
        <v>0</v>
      </c>
      <c r="T62" s="3">
        <f t="shared" si="7"/>
        <v>0</v>
      </c>
      <c r="U62" s="3">
        <f t="shared" si="8"/>
        <v>0</v>
      </c>
      <c r="V62" s="3">
        <f t="shared" si="9"/>
        <v>0</v>
      </c>
      <c r="W62" s="3">
        <f t="shared" si="10"/>
        <v>0</v>
      </c>
      <c r="X62" s="3">
        <f t="shared" si="11"/>
        <v>0</v>
      </c>
      <c r="Y62" s="3">
        <f t="shared" si="12"/>
        <v>0</v>
      </c>
      <c r="Z62" s="3">
        <f t="shared" si="13"/>
        <v>0</v>
      </c>
      <c r="AA62" s="3">
        <f t="shared" si="14"/>
        <v>0</v>
      </c>
      <c r="AB62" s="3">
        <f t="shared" si="15"/>
        <v>0</v>
      </c>
      <c r="AC62" s="3">
        <f t="shared" si="16"/>
        <v>0</v>
      </c>
      <c r="AD62" s="3">
        <f t="shared" si="17"/>
        <v>0</v>
      </c>
      <c r="AE62" s="3">
        <f t="shared" si="18"/>
        <v>0</v>
      </c>
      <c r="AF62" s="3" t="str">
        <f t="shared" si="19"/>
        <v>max14</v>
      </c>
      <c r="AG62" s="3" t="str">
        <f t="shared" si="20"/>
        <v>max14</v>
      </c>
      <c r="AH62" s="3" t="str">
        <f t="shared" si="21"/>
        <v>max14</v>
      </c>
    </row>
    <row r="63" spans="2:34" ht="15" customHeight="1" x14ac:dyDescent="0.25">
      <c r="B63" s="210"/>
      <c r="C63" s="209"/>
      <c r="D63" s="207"/>
      <c r="E63" s="207"/>
      <c r="F63" s="207"/>
      <c r="G63" s="207"/>
      <c r="H63" s="207"/>
      <c r="I63" s="207"/>
      <c r="J63" s="207"/>
      <c r="K63" s="207"/>
      <c r="L63" s="207"/>
      <c r="M63" s="207"/>
      <c r="N63" s="207"/>
      <c r="O63" s="207"/>
      <c r="P63" s="208"/>
      <c r="Q63" s="214" t="str">
        <f t="shared" si="1"/>
        <v/>
      </c>
      <c r="S63" s="3">
        <f t="shared" si="6"/>
        <v>0</v>
      </c>
      <c r="T63" s="3">
        <f t="shared" si="7"/>
        <v>0</v>
      </c>
      <c r="U63" s="3">
        <f t="shared" si="8"/>
        <v>0</v>
      </c>
      <c r="V63" s="3">
        <f t="shared" si="9"/>
        <v>0</v>
      </c>
      <c r="W63" s="3">
        <f t="shared" si="10"/>
        <v>0</v>
      </c>
      <c r="X63" s="3">
        <f t="shared" si="11"/>
        <v>0</v>
      </c>
      <c r="Y63" s="3">
        <f t="shared" si="12"/>
        <v>0</v>
      </c>
      <c r="Z63" s="3">
        <f t="shared" si="13"/>
        <v>0</v>
      </c>
      <c r="AA63" s="3">
        <f t="shared" si="14"/>
        <v>0</v>
      </c>
      <c r="AB63" s="3">
        <f t="shared" si="15"/>
        <v>0</v>
      </c>
      <c r="AC63" s="3">
        <f t="shared" si="16"/>
        <v>0</v>
      </c>
      <c r="AD63" s="3">
        <f t="shared" si="17"/>
        <v>0</v>
      </c>
      <c r="AE63" s="3">
        <f t="shared" si="18"/>
        <v>0</v>
      </c>
      <c r="AF63" s="3" t="str">
        <f t="shared" si="19"/>
        <v>max14</v>
      </c>
      <c r="AG63" s="3" t="str">
        <f t="shared" si="20"/>
        <v>max14</v>
      </c>
      <c r="AH63" s="3" t="str">
        <f t="shared" si="21"/>
        <v>max14</v>
      </c>
    </row>
    <row r="64" spans="2:34" ht="15" customHeight="1" x14ac:dyDescent="0.25">
      <c r="B64" s="210"/>
      <c r="C64" s="209"/>
      <c r="D64" s="207"/>
      <c r="E64" s="207"/>
      <c r="F64" s="207"/>
      <c r="G64" s="207"/>
      <c r="H64" s="207"/>
      <c r="I64" s="207"/>
      <c r="J64" s="207"/>
      <c r="K64" s="207"/>
      <c r="L64" s="207"/>
      <c r="M64" s="207"/>
      <c r="N64" s="207"/>
      <c r="O64" s="207"/>
      <c r="P64" s="208"/>
      <c r="Q64" s="214" t="str">
        <f t="shared" si="1"/>
        <v/>
      </c>
      <c r="S64" s="3">
        <f t="shared" si="6"/>
        <v>0</v>
      </c>
      <c r="T64" s="3">
        <f t="shared" si="7"/>
        <v>0</v>
      </c>
      <c r="U64" s="3">
        <f t="shared" si="8"/>
        <v>0</v>
      </c>
      <c r="V64" s="3">
        <f t="shared" si="9"/>
        <v>0</v>
      </c>
      <c r="W64" s="3">
        <f t="shared" si="10"/>
        <v>0</v>
      </c>
      <c r="X64" s="3">
        <f t="shared" si="11"/>
        <v>0</v>
      </c>
      <c r="Y64" s="3">
        <f t="shared" si="12"/>
        <v>0</v>
      </c>
      <c r="Z64" s="3">
        <f t="shared" si="13"/>
        <v>0</v>
      </c>
      <c r="AA64" s="3">
        <f t="shared" si="14"/>
        <v>0</v>
      </c>
      <c r="AB64" s="3">
        <f t="shared" si="15"/>
        <v>0</v>
      </c>
      <c r="AC64" s="3">
        <f t="shared" si="16"/>
        <v>0</v>
      </c>
      <c r="AD64" s="3">
        <f t="shared" si="17"/>
        <v>0</v>
      </c>
      <c r="AE64" s="3">
        <f t="shared" si="18"/>
        <v>0</v>
      </c>
      <c r="AF64" s="3" t="str">
        <f t="shared" si="19"/>
        <v>max14</v>
      </c>
      <c r="AG64" s="3" t="str">
        <f t="shared" si="20"/>
        <v>max14</v>
      </c>
      <c r="AH64" s="3" t="str">
        <f t="shared" si="21"/>
        <v>max14</v>
      </c>
    </row>
    <row r="65" spans="2:34" ht="15" customHeight="1" x14ac:dyDescent="0.25">
      <c r="B65" s="210"/>
      <c r="C65" s="209"/>
      <c r="D65" s="207"/>
      <c r="E65" s="207"/>
      <c r="F65" s="207"/>
      <c r="G65" s="207"/>
      <c r="H65" s="207"/>
      <c r="I65" s="207"/>
      <c r="J65" s="207"/>
      <c r="K65" s="207"/>
      <c r="L65" s="207"/>
      <c r="M65" s="207"/>
      <c r="N65" s="207"/>
      <c r="O65" s="207"/>
      <c r="P65" s="208"/>
      <c r="Q65" s="214" t="str">
        <f t="shared" si="1"/>
        <v/>
      </c>
      <c r="S65" s="3">
        <f t="shared" si="6"/>
        <v>0</v>
      </c>
      <c r="T65" s="3">
        <f t="shared" si="7"/>
        <v>0</v>
      </c>
      <c r="U65" s="3">
        <f t="shared" si="8"/>
        <v>0</v>
      </c>
      <c r="V65" s="3">
        <f t="shared" si="9"/>
        <v>0</v>
      </c>
      <c r="W65" s="3">
        <f t="shared" si="10"/>
        <v>0</v>
      </c>
      <c r="X65" s="3">
        <f t="shared" si="11"/>
        <v>0</v>
      </c>
      <c r="Y65" s="3">
        <f t="shared" si="12"/>
        <v>0</v>
      </c>
      <c r="Z65" s="3">
        <f t="shared" si="13"/>
        <v>0</v>
      </c>
      <c r="AA65" s="3">
        <f t="shared" si="14"/>
        <v>0</v>
      </c>
      <c r="AB65" s="3">
        <f t="shared" si="15"/>
        <v>0</v>
      </c>
      <c r="AC65" s="3">
        <f t="shared" si="16"/>
        <v>0</v>
      </c>
      <c r="AD65" s="3">
        <f t="shared" si="17"/>
        <v>0</v>
      </c>
      <c r="AE65" s="3">
        <f t="shared" si="18"/>
        <v>0</v>
      </c>
      <c r="AF65" s="3" t="str">
        <f t="shared" si="19"/>
        <v>max14</v>
      </c>
      <c r="AG65" s="3" t="str">
        <f t="shared" si="20"/>
        <v>max14</v>
      </c>
      <c r="AH65" s="3" t="str">
        <f t="shared" si="21"/>
        <v>max14</v>
      </c>
    </row>
    <row r="66" spans="2:34" ht="15" customHeight="1" x14ac:dyDescent="0.25">
      <c r="B66" s="210"/>
      <c r="C66" s="209"/>
      <c r="D66" s="207"/>
      <c r="E66" s="207"/>
      <c r="F66" s="207"/>
      <c r="G66" s="207"/>
      <c r="H66" s="207"/>
      <c r="I66" s="207"/>
      <c r="J66" s="207"/>
      <c r="K66" s="207"/>
      <c r="L66" s="207"/>
      <c r="M66" s="207"/>
      <c r="N66" s="207"/>
      <c r="O66" s="207"/>
      <c r="P66" s="208"/>
      <c r="Q66" s="214" t="str">
        <f t="shared" si="1"/>
        <v/>
      </c>
      <c r="S66" s="3">
        <f t="shared" si="6"/>
        <v>0</v>
      </c>
      <c r="T66" s="3">
        <f t="shared" si="7"/>
        <v>0</v>
      </c>
      <c r="U66" s="3">
        <f t="shared" si="8"/>
        <v>0</v>
      </c>
      <c r="V66" s="3">
        <f t="shared" si="9"/>
        <v>0</v>
      </c>
      <c r="W66" s="3">
        <f t="shared" si="10"/>
        <v>0</v>
      </c>
      <c r="X66" s="3">
        <f t="shared" si="11"/>
        <v>0</v>
      </c>
      <c r="Y66" s="3">
        <f t="shared" si="12"/>
        <v>0</v>
      </c>
      <c r="Z66" s="3">
        <f t="shared" si="13"/>
        <v>0</v>
      </c>
      <c r="AA66" s="3">
        <f t="shared" si="14"/>
        <v>0</v>
      </c>
      <c r="AB66" s="3">
        <f t="shared" si="15"/>
        <v>0</v>
      </c>
      <c r="AC66" s="3">
        <f t="shared" si="16"/>
        <v>0</v>
      </c>
      <c r="AD66" s="3">
        <f t="shared" si="17"/>
        <v>0</v>
      </c>
      <c r="AE66" s="3">
        <f t="shared" si="18"/>
        <v>0</v>
      </c>
      <c r="AF66" s="3" t="str">
        <f t="shared" si="19"/>
        <v>max14</v>
      </c>
      <c r="AG66" s="3" t="str">
        <f t="shared" si="20"/>
        <v>max14</v>
      </c>
      <c r="AH66" s="3" t="str">
        <f t="shared" si="21"/>
        <v>max14</v>
      </c>
    </row>
    <row r="67" spans="2:34" ht="15" customHeight="1" x14ac:dyDescent="0.25">
      <c r="B67" s="73" t="s">
        <v>257</v>
      </c>
      <c r="C67" s="53" t="s">
        <v>258</v>
      </c>
      <c r="D67" s="211">
        <f>SUM(D68:D74)</f>
        <v>0</v>
      </c>
      <c r="E67" s="211">
        <f t="shared" ref="E67:P67" si="22">SUM(E68:E74)</f>
        <v>0</v>
      </c>
      <c r="F67" s="211">
        <f t="shared" si="22"/>
        <v>0</v>
      </c>
      <c r="G67" s="211">
        <f t="shared" si="22"/>
        <v>0</v>
      </c>
      <c r="H67" s="211">
        <f t="shared" si="22"/>
        <v>0</v>
      </c>
      <c r="I67" s="211">
        <f t="shared" si="22"/>
        <v>0</v>
      </c>
      <c r="J67" s="211">
        <f t="shared" si="22"/>
        <v>0</v>
      </c>
      <c r="K67" s="211">
        <f t="shared" si="22"/>
        <v>0</v>
      </c>
      <c r="L67" s="211">
        <f t="shared" si="22"/>
        <v>0</v>
      </c>
      <c r="M67" s="211">
        <f t="shared" si="22"/>
        <v>0</v>
      </c>
      <c r="N67" s="211">
        <f t="shared" si="22"/>
        <v>0</v>
      </c>
      <c r="O67" s="211">
        <f t="shared" si="22"/>
        <v>0</v>
      </c>
      <c r="P67" s="112">
        <f t="shared" si="22"/>
        <v>0</v>
      </c>
      <c r="Q67" s="212" t="str">
        <f t="shared" si="1"/>
        <v/>
      </c>
    </row>
    <row r="68" spans="2:34" ht="15" customHeight="1" x14ac:dyDescent="0.25">
      <c r="B68" s="77" t="s">
        <v>259</v>
      </c>
      <c r="C68" s="48" t="s">
        <v>260</v>
      </c>
      <c r="D68" s="207"/>
      <c r="E68" s="207"/>
      <c r="F68" s="207"/>
      <c r="G68" s="207"/>
      <c r="H68" s="207"/>
      <c r="I68" s="207"/>
      <c r="J68" s="207"/>
      <c r="K68" s="207"/>
      <c r="L68" s="207"/>
      <c r="M68" s="207"/>
      <c r="N68" s="207"/>
      <c r="O68" s="207"/>
      <c r="P68" s="208">
        <f t="shared" ref="P68:P72" si="23">SUM(D68:O68)</f>
        <v>0</v>
      </c>
      <c r="Q68" s="214" t="str">
        <f t="shared" si="1"/>
        <v/>
      </c>
    </row>
    <row r="69" spans="2:34" ht="15" customHeight="1" x14ac:dyDescent="0.25">
      <c r="B69" s="77" t="s">
        <v>261</v>
      </c>
      <c r="C69" s="48" t="s">
        <v>262</v>
      </c>
      <c r="D69" s="207"/>
      <c r="E69" s="207"/>
      <c r="F69" s="207"/>
      <c r="G69" s="207"/>
      <c r="H69" s="207"/>
      <c r="I69" s="207"/>
      <c r="J69" s="207"/>
      <c r="K69" s="207"/>
      <c r="L69" s="207"/>
      <c r="M69" s="207"/>
      <c r="N69" s="207"/>
      <c r="O69" s="207"/>
      <c r="P69" s="208">
        <f t="shared" si="23"/>
        <v>0</v>
      </c>
      <c r="Q69" s="214" t="str">
        <f t="shared" si="1"/>
        <v/>
      </c>
    </row>
    <row r="70" spans="2:34" ht="15" customHeight="1" x14ac:dyDescent="0.25">
      <c r="B70" s="77" t="s">
        <v>263</v>
      </c>
      <c r="C70" s="48" t="s">
        <v>113</v>
      </c>
      <c r="D70" s="207"/>
      <c r="E70" s="207"/>
      <c r="F70" s="207"/>
      <c r="G70" s="207"/>
      <c r="H70" s="207"/>
      <c r="I70" s="207"/>
      <c r="J70" s="207"/>
      <c r="K70" s="207"/>
      <c r="L70" s="207"/>
      <c r="M70" s="207"/>
      <c r="N70" s="207"/>
      <c r="O70" s="207"/>
      <c r="P70" s="208">
        <f t="shared" si="23"/>
        <v>0</v>
      </c>
      <c r="Q70" s="214" t="str">
        <f t="shared" si="1"/>
        <v/>
      </c>
    </row>
    <row r="71" spans="2:34" ht="15" customHeight="1" x14ac:dyDescent="0.25">
      <c r="B71" s="77" t="s">
        <v>264</v>
      </c>
      <c r="C71" s="48" t="s">
        <v>265</v>
      </c>
      <c r="D71" s="207"/>
      <c r="E71" s="207"/>
      <c r="F71" s="207"/>
      <c r="G71" s="207"/>
      <c r="H71" s="207"/>
      <c r="I71" s="207"/>
      <c r="J71" s="207"/>
      <c r="K71" s="207"/>
      <c r="L71" s="207"/>
      <c r="M71" s="207"/>
      <c r="N71" s="207"/>
      <c r="O71" s="207"/>
      <c r="P71" s="208">
        <f t="shared" si="23"/>
        <v>0</v>
      </c>
      <c r="Q71" s="214" t="str">
        <f t="shared" si="1"/>
        <v/>
      </c>
    </row>
    <row r="72" spans="2:34" ht="15" customHeight="1" x14ac:dyDescent="0.25">
      <c r="B72" s="210"/>
      <c r="C72" s="209"/>
      <c r="D72" s="207"/>
      <c r="E72" s="207"/>
      <c r="F72" s="207"/>
      <c r="G72" s="207"/>
      <c r="H72" s="207"/>
      <c r="I72" s="207"/>
      <c r="J72" s="207"/>
      <c r="K72" s="207"/>
      <c r="L72" s="207"/>
      <c r="M72" s="207"/>
      <c r="N72" s="207"/>
      <c r="O72" s="207"/>
      <c r="P72" s="208">
        <f t="shared" si="23"/>
        <v>0</v>
      </c>
      <c r="Q72" s="214" t="str">
        <f t="shared" si="1"/>
        <v/>
      </c>
    </row>
    <row r="73" spans="2:34" ht="15" customHeight="1" x14ac:dyDescent="0.25">
      <c r="B73" s="210"/>
      <c r="C73" s="209"/>
      <c r="D73" s="207"/>
      <c r="E73" s="207"/>
      <c r="F73" s="207"/>
      <c r="G73" s="207"/>
      <c r="H73" s="207"/>
      <c r="I73" s="207"/>
      <c r="J73" s="207"/>
      <c r="K73" s="207"/>
      <c r="L73" s="207"/>
      <c r="M73" s="207"/>
      <c r="N73" s="207"/>
      <c r="O73" s="207"/>
      <c r="P73" s="208"/>
      <c r="Q73" s="214" t="str">
        <f t="shared" si="1"/>
        <v/>
      </c>
    </row>
    <row r="74" spans="2:34" ht="15" customHeight="1" x14ac:dyDescent="0.25">
      <c r="B74" s="210"/>
      <c r="C74" s="209"/>
      <c r="D74" s="207"/>
      <c r="E74" s="207"/>
      <c r="F74" s="207"/>
      <c r="G74" s="207"/>
      <c r="H74" s="207"/>
      <c r="I74" s="207"/>
      <c r="J74" s="207"/>
      <c r="K74" s="207"/>
      <c r="L74" s="207"/>
      <c r="M74" s="207"/>
      <c r="N74" s="207"/>
      <c r="O74" s="207"/>
      <c r="P74" s="208"/>
      <c r="Q74" s="214" t="str">
        <f t="shared" si="1"/>
        <v/>
      </c>
    </row>
    <row r="75" spans="2:34" ht="15" customHeight="1" x14ac:dyDescent="0.25">
      <c r="B75" s="73" t="s">
        <v>266</v>
      </c>
      <c r="C75" s="53" t="s">
        <v>429</v>
      </c>
      <c r="D75" s="211">
        <f>SUM(D76:D81)</f>
        <v>0</v>
      </c>
      <c r="E75" s="211">
        <f t="shared" ref="E75:P75" si="24">SUM(E76:E81)</f>
        <v>0</v>
      </c>
      <c r="F75" s="211">
        <f t="shared" si="24"/>
        <v>0</v>
      </c>
      <c r="G75" s="211">
        <f t="shared" si="24"/>
        <v>0</v>
      </c>
      <c r="H75" s="211">
        <f t="shared" si="24"/>
        <v>0</v>
      </c>
      <c r="I75" s="211">
        <f t="shared" si="24"/>
        <v>0</v>
      </c>
      <c r="J75" s="211">
        <f t="shared" si="24"/>
        <v>0</v>
      </c>
      <c r="K75" s="211">
        <f t="shared" si="24"/>
        <v>0</v>
      </c>
      <c r="L75" s="211">
        <f t="shared" si="24"/>
        <v>0</v>
      </c>
      <c r="M75" s="211">
        <f t="shared" si="24"/>
        <v>0</v>
      </c>
      <c r="N75" s="211">
        <f t="shared" si="24"/>
        <v>0</v>
      </c>
      <c r="O75" s="211">
        <f t="shared" si="24"/>
        <v>0</v>
      </c>
      <c r="P75" s="112">
        <f t="shared" si="24"/>
        <v>0</v>
      </c>
      <c r="Q75" s="212" t="str">
        <f t="shared" si="1"/>
        <v/>
      </c>
    </row>
    <row r="76" spans="2:34" ht="15" customHeight="1" x14ac:dyDescent="0.25">
      <c r="B76" s="77" t="s">
        <v>267</v>
      </c>
      <c r="C76" s="48" t="s">
        <v>112</v>
      </c>
      <c r="D76" s="207"/>
      <c r="E76" s="207"/>
      <c r="F76" s="207"/>
      <c r="G76" s="207"/>
      <c r="H76" s="207"/>
      <c r="I76" s="207"/>
      <c r="J76" s="207"/>
      <c r="K76" s="207"/>
      <c r="L76" s="207"/>
      <c r="M76" s="207"/>
      <c r="N76" s="207"/>
      <c r="O76" s="207"/>
      <c r="P76" s="208">
        <f t="shared" ref="P76:P79" si="25">SUM(D76:O76)</f>
        <v>0</v>
      </c>
      <c r="Q76" s="214" t="str">
        <f t="shared" si="1"/>
        <v/>
      </c>
    </row>
    <row r="77" spans="2:34" ht="15" customHeight="1" x14ac:dyDescent="0.25">
      <c r="B77" s="77" t="s">
        <v>268</v>
      </c>
      <c r="C77" s="48" t="s">
        <v>111</v>
      </c>
      <c r="D77" s="207"/>
      <c r="E77" s="207"/>
      <c r="F77" s="207"/>
      <c r="G77" s="207"/>
      <c r="H77" s="207"/>
      <c r="I77" s="207"/>
      <c r="J77" s="207"/>
      <c r="K77" s="207"/>
      <c r="L77" s="207"/>
      <c r="M77" s="207"/>
      <c r="N77" s="207"/>
      <c r="O77" s="207"/>
      <c r="P77" s="208">
        <f t="shared" si="25"/>
        <v>0</v>
      </c>
      <c r="Q77" s="214" t="str">
        <f t="shared" si="1"/>
        <v/>
      </c>
    </row>
    <row r="78" spans="2:34" ht="15" customHeight="1" x14ac:dyDescent="0.25">
      <c r="B78" s="77" t="s">
        <v>269</v>
      </c>
      <c r="C78" s="48" t="s">
        <v>113</v>
      </c>
      <c r="D78" s="207"/>
      <c r="E78" s="207"/>
      <c r="F78" s="207"/>
      <c r="G78" s="207"/>
      <c r="H78" s="207"/>
      <c r="I78" s="207"/>
      <c r="J78" s="207"/>
      <c r="K78" s="207"/>
      <c r="L78" s="207"/>
      <c r="M78" s="207"/>
      <c r="N78" s="207"/>
      <c r="O78" s="207"/>
      <c r="P78" s="208">
        <f t="shared" si="25"/>
        <v>0</v>
      </c>
      <c r="Q78" s="214" t="str">
        <f t="shared" si="1"/>
        <v/>
      </c>
    </row>
    <row r="79" spans="2:34" ht="15" customHeight="1" x14ac:dyDescent="0.25">
      <c r="B79" s="210"/>
      <c r="C79" s="209"/>
      <c r="D79" s="207"/>
      <c r="E79" s="207"/>
      <c r="F79" s="207"/>
      <c r="G79" s="207"/>
      <c r="H79" s="207"/>
      <c r="I79" s="207"/>
      <c r="J79" s="207"/>
      <c r="K79" s="207"/>
      <c r="L79" s="207"/>
      <c r="M79" s="207"/>
      <c r="N79" s="207"/>
      <c r="O79" s="207"/>
      <c r="P79" s="208">
        <f t="shared" si="25"/>
        <v>0</v>
      </c>
      <c r="Q79" s="214" t="str">
        <f t="shared" ref="Q79:Q124" si="26">IFERROR(IF(AND(G79&lt;0,P79&lt;=0),-(P79-G79)/G79,IF(AND(G79&lt;0,P79&gt;0),-(P79-G79)/G79,(P79-G79)/G79)),"")</f>
        <v/>
      </c>
    </row>
    <row r="80" spans="2:34" ht="15" customHeight="1" x14ac:dyDescent="0.25">
      <c r="B80" s="210"/>
      <c r="C80" s="209"/>
      <c r="D80" s="207"/>
      <c r="E80" s="207"/>
      <c r="F80" s="207"/>
      <c r="G80" s="207"/>
      <c r="H80" s="207"/>
      <c r="I80" s="207"/>
      <c r="J80" s="207"/>
      <c r="K80" s="207"/>
      <c r="L80" s="207"/>
      <c r="M80" s="207"/>
      <c r="N80" s="207"/>
      <c r="O80" s="207"/>
      <c r="P80" s="208"/>
      <c r="Q80" s="214" t="str">
        <f t="shared" si="26"/>
        <v/>
      </c>
    </row>
    <row r="81" spans="2:17" ht="15" customHeight="1" x14ac:dyDescent="0.25">
      <c r="B81" s="210"/>
      <c r="C81" s="209"/>
      <c r="D81" s="207"/>
      <c r="E81" s="207"/>
      <c r="F81" s="207"/>
      <c r="G81" s="207"/>
      <c r="H81" s="207"/>
      <c r="I81" s="207"/>
      <c r="J81" s="207"/>
      <c r="K81" s="207"/>
      <c r="L81" s="207"/>
      <c r="M81" s="207"/>
      <c r="N81" s="207"/>
      <c r="O81" s="207"/>
      <c r="P81" s="208"/>
      <c r="Q81" s="214" t="str">
        <f t="shared" si="26"/>
        <v/>
      </c>
    </row>
    <row r="82" spans="2:17" ht="15" customHeight="1" x14ac:dyDescent="0.25">
      <c r="B82" s="73" t="s">
        <v>270</v>
      </c>
      <c r="C82" s="53" t="s">
        <v>271</v>
      </c>
      <c r="D82" s="211">
        <f>SUM(D83:D93)</f>
        <v>0</v>
      </c>
      <c r="E82" s="211">
        <f t="shared" ref="E82:P82" si="27">SUM(E83:E93)</f>
        <v>0</v>
      </c>
      <c r="F82" s="211">
        <f t="shared" si="27"/>
        <v>0</v>
      </c>
      <c r="G82" s="211">
        <f t="shared" si="27"/>
        <v>0</v>
      </c>
      <c r="H82" s="211">
        <f t="shared" si="27"/>
        <v>0</v>
      </c>
      <c r="I82" s="211">
        <f t="shared" si="27"/>
        <v>0</v>
      </c>
      <c r="J82" s="211">
        <f t="shared" si="27"/>
        <v>0</v>
      </c>
      <c r="K82" s="211">
        <f t="shared" si="27"/>
        <v>0</v>
      </c>
      <c r="L82" s="211">
        <f t="shared" si="27"/>
        <v>0</v>
      </c>
      <c r="M82" s="211">
        <f t="shared" si="27"/>
        <v>0</v>
      </c>
      <c r="N82" s="211">
        <f t="shared" si="27"/>
        <v>0</v>
      </c>
      <c r="O82" s="211">
        <f t="shared" si="27"/>
        <v>0</v>
      </c>
      <c r="P82" s="112">
        <f t="shared" si="27"/>
        <v>0</v>
      </c>
      <c r="Q82" s="212" t="str">
        <f t="shared" si="26"/>
        <v/>
      </c>
    </row>
    <row r="83" spans="2:17" ht="15" customHeight="1" x14ac:dyDescent="0.25">
      <c r="B83" s="77" t="s">
        <v>272</v>
      </c>
      <c r="C83" s="48" t="s">
        <v>273</v>
      </c>
      <c r="D83" s="207"/>
      <c r="E83" s="207"/>
      <c r="F83" s="207"/>
      <c r="G83" s="207"/>
      <c r="H83" s="207"/>
      <c r="I83" s="207"/>
      <c r="J83" s="207"/>
      <c r="K83" s="207"/>
      <c r="L83" s="207"/>
      <c r="M83" s="207"/>
      <c r="N83" s="207"/>
      <c r="O83" s="207"/>
      <c r="P83" s="208">
        <f t="shared" ref="P83:P92" si="28">SUM(D83:O83)</f>
        <v>0</v>
      </c>
      <c r="Q83" s="214" t="str">
        <f t="shared" si="26"/>
        <v/>
      </c>
    </row>
    <row r="84" spans="2:17" ht="15" customHeight="1" x14ac:dyDescent="0.25">
      <c r="B84" s="77" t="s">
        <v>274</v>
      </c>
      <c r="C84" s="48" t="s">
        <v>275</v>
      </c>
      <c r="D84" s="207"/>
      <c r="E84" s="207"/>
      <c r="F84" s="207"/>
      <c r="G84" s="207"/>
      <c r="H84" s="207"/>
      <c r="I84" s="207"/>
      <c r="J84" s="207"/>
      <c r="K84" s="207"/>
      <c r="L84" s="207"/>
      <c r="M84" s="207"/>
      <c r="N84" s="207"/>
      <c r="O84" s="207"/>
      <c r="P84" s="208">
        <f t="shared" si="28"/>
        <v>0</v>
      </c>
      <c r="Q84" s="214" t="str">
        <f t="shared" si="26"/>
        <v/>
      </c>
    </row>
    <row r="85" spans="2:17" ht="15" customHeight="1" x14ac:dyDescent="0.25">
      <c r="B85" s="77" t="s">
        <v>276</v>
      </c>
      <c r="C85" s="48" t="s">
        <v>277</v>
      </c>
      <c r="D85" s="207"/>
      <c r="E85" s="207"/>
      <c r="F85" s="207"/>
      <c r="G85" s="207"/>
      <c r="H85" s="207"/>
      <c r="I85" s="207"/>
      <c r="J85" s="207"/>
      <c r="K85" s="207"/>
      <c r="L85" s="207"/>
      <c r="M85" s="207"/>
      <c r="N85" s="207"/>
      <c r="O85" s="207"/>
      <c r="P85" s="208">
        <f t="shared" si="28"/>
        <v>0</v>
      </c>
      <c r="Q85" s="214" t="str">
        <f t="shared" si="26"/>
        <v/>
      </c>
    </row>
    <row r="86" spans="2:17" ht="15" customHeight="1" x14ac:dyDescent="0.25">
      <c r="B86" s="77" t="s">
        <v>278</v>
      </c>
      <c r="C86" s="48" t="s">
        <v>279</v>
      </c>
      <c r="D86" s="207"/>
      <c r="E86" s="207"/>
      <c r="F86" s="207"/>
      <c r="G86" s="207"/>
      <c r="H86" s="207"/>
      <c r="I86" s="207"/>
      <c r="J86" s="207"/>
      <c r="K86" s="207"/>
      <c r="L86" s="207"/>
      <c r="M86" s="207"/>
      <c r="N86" s="207"/>
      <c r="O86" s="207"/>
      <c r="P86" s="208">
        <f t="shared" si="28"/>
        <v>0</v>
      </c>
      <c r="Q86" s="214" t="str">
        <f t="shared" si="26"/>
        <v/>
      </c>
    </row>
    <row r="87" spans="2:17" ht="15" customHeight="1" x14ac:dyDescent="0.25">
      <c r="B87" s="77" t="s">
        <v>280</v>
      </c>
      <c r="C87" s="48" t="s">
        <v>281</v>
      </c>
      <c r="D87" s="207"/>
      <c r="E87" s="207"/>
      <c r="F87" s="207"/>
      <c r="G87" s="207"/>
      <c r="H87" s="207"/>
      <c r="I87" s="207"/>
      <c r="J87" s="207"/>
      <c r="K87" s="207"/>
      <c r="L87" s="207"/>
      <c r="M87" s="207"/>
      <c r="N87" s="207"/>
      <c r="O87" s="207"/>
      <c r="P87" s="208">
        <f t="shared" si="28"/>
        <v>0</v>
      </c>
      <c r="Q87" s="214" t="str">
        <f t="shared" si="26"/>
        <v/>
      </c>
    </row>
    <row r="88" spans="2:17" ht="15" customHeight="1" x14ac:dyDescent="0.25">
      <c r="B88" s="77" t="s">
        <v>282</v>
      </c>
      <c r="C88" s="48" t="s">
        <v>283</v>
      </c>
      <c r="D88" s="207"/>
      <c r="E88" s="207"/>
      <c r="F88" s="207"/>
      <c r="G88" s="207"/>
      <c r="H88" s="207"/>
      <c r="I88" s="207"/>
      <c r="J88" s="207"/>
      <c r="K88" s="207"/>
      <c r="L88" s="207"/>
      <c r="M88" s="207"/>
      <c r="N88" s="207"/>
      <c r="O88" s="207"/>
      <c r="P88" s="208">
        <f t="shared" si="28"/>
        <v>0</v>
      </c>
      <c r="Q88" s="214" t="str">
        <f t="shared" si="26"/>
        <v/>
      </c>
    </row>
    <row r="89" spans="2:17" ht="15" customHeight="1" x14ac:dyDescent="0.25">
      <c r="B89" s="77" t="s">
        <v>284</v>
      </c>
      <c r="C89" s="48" t="s">
        <v>285</v>
      </c>
      <c r="D89" s="207"/>
      <c r="E89" s="207"/>
      <c r="F89" s="207"/>
      <c r="G89" s="207"/>
      <c r="H89" s="207"/>
      <c r="I89" s="207"/>
      <c r="J89" s="207"/>
      <c r="K89" s="207"/>
      <c r="L89" s="207"/>
      <c r="M89" s="207"/>
      <c r="N89" s="207"/>
      <c r="O89" s="207"/>
      <c r="P89" s="208">
        <f t="shared" si="28"/>
        <v>0</v>
      </c>
      <c r="Q89" s="214" t="str">
        <f t="shared" si="26"/>
        <v/>
      </c>
    </row>
    <row r="90" spans="2:17" ht="15" customHeight="1" x14ac:dyDescent="0.25">
      <c r="B90" s="77" t="s">
        <v>286</v>
      </c>
      <c r="C90" s="209"/>
      <c r="D90" s="207"/>
      <c r="E90" s="207"/>
      <c r="F90" s="207"/>
      <c r="G90" s="207"/>
      <c r="H90" s="207"/>
      <c r="I90" s="207"/>
      <c r="J90" s="207"/>
      <c r="K90" s="207"/>
      <c r="L90" s="207"/>
      <c r="M90" s="207"/>
      <c r="N90" s="207"/>
      <c r="O90" s="207"/>
      <c r="P90" s="208">
        <f t="shared" si="28"/>
        <v>0</v>
      </c>
      <c r="Q90" s="214" t="str">
        <f t="shared" si="26"/>
        <v/>
      </c>
    </row>
    <row r="91" spans="2:17" ht="15" customHeight="1" x14ac:dyDescent="0.25">
      <c r="B91" s="77" t="s">
        <v>287</v>
      </c>
      <c r="C91" s="48" t="s">
        <v>288</v>
      </c>
      <c r="D91" s="207"/>
      <c r="E91" s="207"/>
      <c r="F91" s="207"/>
      <c r="G91" s="207"/>
      <c r="H91" s="207"/>
      <c r="I91" s="207"/>
      <c r="J91" s="207"/>
      <c r="K91" s="207"/>
      <c r="L91" s="207"/>
      <c r="M91" s="207"/>
      <c r="N91" s="207"/>
      <c r="O91" s="207"/>
      <c r="P91" s="208">
        <f t="shared" si="28"/>
        <v>0</v>
      </c>
      <c r="Q91" s="214" t="str">
        <f t="shared" si="26"/>
        <v/>
      </c>
    </row>
    <row r="92" spans="2:17" ht="15" customHeight="1" x14ac:dyDescent="0.25">
      <c r="B92" s="210"/>
      <c r="C92" s="209"/>
      <c r="D92" s="207"/>
      <c r="E92" s="207"/>
      <c r="F92" s="207"/>
      <c r="G92" s="207"/>
      <c r="H92" s="207"/>
      <c r="I92" s="207"/>
      <c r="J92" s="207"/>
      <c r="K92" s="207"/>
      <c r="L92" s="207"/>
      <c r="M92" s="207"/>
      <c r="N92" s="207"/>
      <c r="O92" s="207"/>
      <c r="P92" s="208">
        <f t="shared" si="28"/>
        <v>0</v>
      </c>
      <c r="Q92" s="214" t="str">
        <f t="shared" si="26"/>
        <v/>
      </c>
    </row>
    <row r="93" spans="2:17" ht="15" customHeight="1" x14ac:dyDescent="0.25">
      <c r="B93" s="210"/>
      <c r="C93" s="209"/>
      <c r="D93" s="207"/>
      <c r="E93" s="207"/>
      <c r="F93" s="207"/>
      <c r="G93" s="207"/>
      <c r="H93" s="207"/>
      <c r="I93" s="207"/>
      <c r="J93" s="207"/>
      <c r="K93" s="207"/>
      <c r="L93" s="207"/>
      <c r="M93" s="207"/>
      <c r="N93" s="207"/>
      <c r="O93" s="207"/>
      <c r="P93" s="208"/>
      <c r="Q93" s="214" t="str">
        <f t="shared" si="26"/>
        <v/>
      </c>
    </row>
    <row r="94" spans="2:17" ht="15" customHeight="1" x14ac:dyDescent="0.25">
      <c r="B94" s="73" t="s">
        <v>289</v>
      </c>
      <c r="C94" s="53" t="s">
        <v>290</v>
      </c>
      <c r="D94" s="211">
        <f>SUM(D95:D100)</f>
        <v>0</v>
      </c>
      <c r="E94" s="211">
        <f t="shared" ref="E94:P94" si="29">SUM(E95:E100)</f>
        <v>0</v>
      </c>
      <c r="F94" s="211">
        <f t="shared" si="29"/>
        <v>0</v>
      </c>
      <c r="G94" s="211">
        <f t="shared" si="29"/>
        <v>0</v>
      </c>
      <c r="H94" s="211">
        <f t="shared" si="29"/>
        <v>0</v>
      </c>
      <c r="I94" s="211">
        <f t="shared" si="29"/>
        <v>0</v>
      </c>
      <c r="J94" s="211">
        <f t="shared" si="29"/>
        <v>0</v>
      </c>
      <c r="K94" s="211">
        <f t="shared" si="29"/>
        <v>0</v>
      </c>
      <c r="L94" s="211">
        <f t="shared" si="29"/>
        <v>0</v>
      </c>
      <c r="M94" s="211">
        <f t="shared" si="29"/>
        <v>0</v>
      </c>
      <c r="N94" s="211">
        <f t="shared" si="29"/>
        <v>0</v>
      </c>
      <c r="O94" s="211">
        <f t="shared" si="29"/>
        <v>0</v>
      </c>
      <c r="P94" s="112">
        <f t="shared" si="29"/>
        <v>0</v>
      </c>
      <c r="Q94" s="212" t="str">
        <f t="shared" si="26"/>
        <v/>
      </c>
    </row>
    <row r="95" spans="2:17" ht="15" customHeight="1" x14ac:dyDescent="0.25">
      <c r="B95" s="77" t="s">
        <v>291</v>
      </c>
      <c r="C95" s="48" t="s">
        <v>292</v>
      </c>
      <c r="D95" s="207"/>
      <c r="E95" s="207"/>
      <c r="F95" s="207"/>
      <c r="G95" s="207"/>
      <c r="H95" s="207"/>
      <c r="I95" s="207"/>
      <c r="J95" s="207"/>
      <c r="K95" s="207"/>
      <c r="L95" s="207"/>
      <c r="M95" s="207"/>
      <c r="N95" s="207"/>
      <c r="O95" s="207"/>
      <c r="P95" s="208">
        <f t="shared" ref="P95:P99" si="30">SUM(D95:O95)</f>
        <v>0</v>
      </c>
      <c r="Q95" s="214" t="str">
        <f t="shared" si="26"/>
        <v/>
      </c>
    </row>
    <row r="96" spans="2:17" ht="15" customHeight="1" x14ac:dyDescent="0.25">
      <c r="B96" s="77" t="s">
        <v>293</v>
      </c>
      <c r="C96" s="48" t="s">
        <v>113</v>
      </c>
      <c r="D96" s="207"/>
      <c r="E96" s="207"/>
      <c r="F96" s="207"/>
      <c r="G96" s="207"/>
      <c r="H96" s="207"/>
      <c r="I96" s="207"/>
      <c r="J96" s="207"/>
      <c r="K96" s="207"/>
      <c r="L96" s="207"/>
      <c r="M96" s="207"/>
      <c r="N96" s="207"/>
      <c r="O96" s="207"/>
      <c r="P96" s="208">
        <f t="shared" si="30"/>
        <v>0</v>
      </c>
      <c r="Q96" s="214" t="str">
        <f t="shared" si="26"/>
        <v/>
      </c>
    </row>
    <row r="97" spans="2:17" ht="15" customHeight="1" x14ac:dyDescent="0.25">
      <c r="B97" s="77" t="s">
        <v>294</v>
      </c>
      <c r="C97" s="48" t="s">
        <v>110</v>
      </c>
      <c r="D97" s="207"/>
      <c r="E97" s="207"/>
      <c r="F97" s="207"/>
      <c r="G97" s="207"/>
      <c r="H97" s="207"/>
      <c r="I97" s="207"/>
      <c r="J97" s="207"/>
      <c r="K97" s="207"/>
      <c r="L97" s="207"/>
      <c r="M97" s="207"/>
      <c r="N97" s="207"/>
      <c r="O97" s="207"/>
      <c r="P97" s="208">
        <f t="shared" si="30"/>
        <v>0</v>
      </c>
      <c r="Q97" s="214" t="str">
        <f t="shared" si="26"/>
        <v/>
      </c>
    </row>
    <row r="98" spans="2:17" ht="15" customHeight="1" x14ac:dyDescent="0.25">
      <c r="B98" s="210"/>
      <c r="C98" s="209"/>
      <c r="D98" s="207"/>
      <c r="E98" s="207"/>
      <c r="F98" s="207"/>
      <c r="G98" s="207"/>
      <c r="H98" s="207"/>
      <c r="I98" s="207"/>
      <c r="J98" s="207"/>
      <c r="K98" s="207"/>
      <c r="L98" s="207"/>
      <c r="M98" s="207"/>
      <c r="N98" s="207"/>
      <c r="O98" s="207"/>
      <c r="P98" s="208">
        <f t="shared" si="30"/>
        <v>0</v>
      </c>
      <c r="Q98" s="214" t="str">
        <f t="shared" si="26"/>
        <v/>
      </c>
    </row>
    <row r="99" spans="2:17" ht="15" customHeight="1" x14ac:dyDescent="0.25">
      <c r="B99" s="210"/>
      <c r="C99" s="209"/>
      <c r="D99" s="207"/>
      <c r="E99" s="207"/>
      <c r="F99" s="207"/>
      <c r="G99" s="207"/>
      <c r="H99" s="207"/>
      <c r="I99" s="207"/>
      <c r="J99" s="207"/>
      <c r="K99" s="207"/>
      <c r="L99" s="207"/>
      <c r="M99" s="207"/>
      <c r="N99" s="207"/>
      <c r="O99" s="207"/>
      <c r="P99" s="208">
        <f t="shared" si="30"/>
        <v>0</v>
      </c>
      <c r="Q99" s="214" t="str">
        <f t="shared" si="26"/>
        <v/>
      </c>
    </row>
    <row r="100" spans="2:17" ht="15" customHeight="1" x14ac:dyDescent="0.25">
      <c r="B100" s="210"/>
      <c r="C100" s="209"/>
      <c r="D100" s="207"/>
      <c r="E100" s="207"/>
      <c r="F100" s="207"/>
      <c r="G100" s="207"/>
      <c r="H100" s="207"/>
      <c r="I100" s="207"/>
      <c r="J100" s="207"/>
      <c r="K100" s="207"/>
      <c r="L100" s="207"/>
      <c r="M100" s="207"/>
      <c r="N100" s="207"/>
      <c r="O100" s="207"/>
      <c r="P100" s="208"/>
      <c r="Q100" s="214" t="str">
        <f t="shared" si="26"/>
        <v/>
      </c>
    </row>
    <row r="101" spans="2:17" ht="15" customHeight="1" x14ac:dyDescent="0.25">
      <c r="B101" s="73" t="s">
        <v>295</v>
      </c>
      <c r="C101" s="53" t="s">
        <v>296</v>
      </c>
      <c r="D101" s="211">
        <f>SUM(D102:D112)</f>
        <v>0</v>
      </c>
      <c r="E101" s="211">
        <f t="shared" ref="E101:P101" si="31">SUM(E102:E112)</f>
        <v>0</v>
      </c>
      <c r="F101" s="211">
        <f t="shared" si="31"/>
        <v>0</v>
      </c>
      <c r="G101" s="211">
        <f t="shared" si="31"/>
        <v>0</v>
      </c>
      <c r="H101" s="211">
        <f t="shared" si="31"/>
        <v>288</v>
      </c>
      <c r="I101" s="211">
        <f t="shared" si="31"/>
        <v>0</v>
      </c>
      <c r="J101" s="211">
        <f t="shared" si="31"/>
        <v>0</v>
      </c>
      <c r="K101" s="211">
        <f t="shared" si="31"/>
        <v>0</v>
      </c>
      <c r="L101" s="211">
        <f t="shared" si="31"/>
        <v>0</v>
      </c>
      <c r="M101" s="211">
        <f t="shared" si="31"/>
        <v>0</v>
      </c>
      <c r="N101" s="211">
        <f t="shared" si="31"/>
        <v>0</v>
      </c>
      <c r="O101" s="211">
        <f t="shared" si="31"/>
        <v>0</v>
      </c>
      <c r="P101" s="112">
        <f t="shared" si="31"/>
        <v>288</v>
      </c>
      <c r="Q101" s="212" t="str">
        <f t="shared" si="26"/>
        <v/>
      </c>
    </row>
    <row r="102" spans="2:17" ht="15" customHeight="1" x14ac:dyDescent="0.25">
      <c r="B102" s="77" t="s">
        <v>297</v>
      </c>
      <c r="C102" s="48" t="s">
        <v>298</v>
      </c>
      <c r="D102" s="207"/>
      <c r="E102" s="207"/>
      <c r="F102" s="207"/>
      <c r="G102" s="207"/>
      <c r="H102" s="207"/>
      <c r="I102" s="207"/>
      <c r="J102" s="207"/>
      <c r="K102" s="207"/>
      <c r="L102" s="207"/>
      <c r="M102" s="207"/>
      <c r="N102" s="207"/>
      <c r="O102" s="207"/>
      <c r="P102" s="208">
        <f t="shared" ref="P102:P111" si="32">SUM(D102:O102)</f>
        <v>0</v>
      </c>
      <c r="Q102" s="214" t="str">
        <f t="shared" si="26"/>
        <v/>
      </c>
    </row>
    <row r="103" spans="2:17" ht="15" customHeight="1" x14ac:dyDescent="0.25">
      <c r="B103" s="77" t="s">
        <v>299</v>
      </c>
      <c r="C103" s="48" t="s">
        <v>300</v>
      </c>
      <c r="D103" s="207"/>
      <c r="E103" s="207"/>
      <c r="F103" s="207"/>
      <c r="G103" s="207"/>
      <c r="H103" s="207">
        <v>288</v>
      </c>
      <c r="I103" s="207"/>
      <c r="J103" s="207"/>
      <c r="K103" s="207"/>
      <c r="L103" s="207"/>
      <c r="M103" s="207"/>
      <c r="N103" s="207"/>
      <c r="O103" s="207"/>
      <c r="P103" s="208">
        <f t="shared" si="32"/>
        <v>288</v>
      </c>
      <c r="Q103" s="214" t="str">
        <f t="shared" si="26"/>
        <v/>
      </c>
    </row>
    <row r="104" spans="2:17" ht="15" customHeight="1" x14ac:dyDescent="0.25">
      <c r="B104" s="77" t="s">
        <v>301</v>
      </c>
      <c r="C104" s="48" t="s">
        <v>302</v>
      </c>
      <c r="D104" s="207"/>
      <c r="E104" s="207"/>
      <c r="F104" s="207"/>
      <c r="G104" s="207"/>
      <c r="H104" s="207"/>
      <c r="I104" s="207"/>
      <c r="J104" s="207"/>
      <c r="K104" s="207"/>
      <c r="L104" s="207"/>
      <c r="M104" s="207"/>
      <c r="N104" s="207"/>
      <c r="O104" s="207"/>
      <c r="P104" s="208">
        <f t="shared" si="32"/>
        <v>0</v>
      </c>
      <c r="Q104" s="214" t="str">
        <f t="shared" si="26"/>
        <v/>
      </c>
    </row>
    <row r="105" spans="2:17" ht="15" customHeight="1" x14ac:dyDescent="0.25">
      <c r="B105" s="77" t="s">
        <v>303</v>
      </c>
      <c r="C105" s="48" t="s">
        <v>304</v>
      </c>
      <c r="D105" s="207"/>
      <c r="E105" s="207"/>
      <c r="F105" s="207"/>
      <c r="G105" s="207"/>
      <c r="H105" s="207"/>
      <c r="I105" s="207"/>
      <c r="J105" s="207"/>
      <c r="K105" s="207"/>
      <c r="L105" s="207"/>
      <c r="M105" s="207"/>
      <c r="N105" s="207"/>
      <c r="O105" s="207"/>
      <c r="P105" s="208">
        <f t="shared" si="32"/>
        <v>0</v>
      </c>
      <c r="Q105" s="214" t="str">
        <f t="shared" si="26"/>
        <v/>
      </c>
    </row>
    <row r="106" spans="2:17" ht="15" customHeight="1" x14ac:dyDescent="0.25">
      <c r="B106" s="77" t="s">
        <v>305</v>
      </c>
      <c r="C106" s="209"/>
      <c r="D106" s="207"/>
      <c r="E106" s="207"/>
      <c r="F106" s="207"/>
      <c r="G106" s="207"/>
      <c r="H106" s="207"/>
      <c r="I106" s="207"/>
      <c r="J106" s="207"/>
      <c r="K106" s="207"/>
      <c r="L106" s="207"/>
      <c r="M106" s="207"/>
      <c r="N106" s="207"/>
      <c r="O106" s="207"/>
      <c r="P106" s="208">
        <f t="shared" si="32"/>
        <v>0</v>
      </c>
      <c r="Q106" s="214" t="str">
        <f t="shared" si="26"/>
        <v/>
      </c>
    </row>
    <row r="107" spans="2:17" ht="15" customHeight="1" x14ac:dyDescent="0.25">
      <c r="B107" s="77" t="s">
        <v>306</v>
      </c>
      <c r="C107" s="209"/>
      <c r="D107" s="207"/>
      <c r="E107" s="207"/>
      <c r="F107" s="207"/>
      <c r="G107" s="207"/>
      <c r="H107" s="207"/>
      <c r="I107" s="207"/>
      <c r="J107" s="207"/>
      <c r="K107" s="207"/>
      <c r="L107" s="207"/>
      <c r="M107" s="207"/>
      <c r="N107" s="207"/>
      <c r="O107" s="207"/>
      <c r="P107" s="208">
        <f t="shared" si="32"/>
        <v>0</v>
      </c>
      <c r="Q107" s="214" t="str">
        <f t="shared" si="26"/>
        <v/>
      </c>
    </row>
    <row r="108" spans="2:17" ht="15" customHeight="1" x14ac:dyDescent="0.25">
      <c r="B108" s="77" t="s">
        <v>307</v>
      </c>
      <c r="C108" s="209"/>
      <c r="D108" s="207"/>
      <c r="E108" s="207"/>
      <c r="F108" s="207"/>
      <c r="G108" s="207"/>
      <c r="H108" s="207"/>
      <c r="I108" s="207"/>
      <c r="J108" s="207"/>
      <c r="K108" s="207"/>
      <c r="L108" s="207"/>
      <c r="M108" s="207"/>
      <c r="N108" s="207"/>
      <c r="O108" s="207"/>
      <c r="P108" s="208">
        <f t="shared" si="32"/>
        <v>0</v>
      </c>
      <c r="Q108" s="214" t="str">
        <f t="shared" si="26"/>
        <v/>
      </c>
    </row>
    <row r="109" spans="2:17" ht="15" customHeight="1" x14ac:dyDescent="0.25">
      <c r="B109" s="77" t="s">
        <v>308</v>
      </c>
      <c r="C109" s="209"/>
      <c r="D109" s="207"/>
      <c r="E109" s="207"/>
      <c r="F109" s="207"/>
      <c r="G109" s="207"/>
      <c r="H109" s="207"/>
      <c r="I109" s="207"/>
      <c r="J109" s="207"/>
      <c r="K109" s="207"/>
      <c r="L109" s="207"/>
      <c r="M109" s="207"/>
      <c r="N109" s="207"/>
      <c r="O109" s="207"/>
      <c r="P109" s="208">
        <f t="shared" si="32"/>
        <v>0</v>
      </c>
      <c r="Q109" s="214" t="str">
        <f t="shared" si="26"/>
        <v/>
      </c>
    </row>
    <row r="110" spans="2:17" ht="15" customHeight="1" x14ac:dyDescent="0.25">
      <c r="B110" s="77" t="s">
        <v>309</v>
      </c>
      <c r="C110" s="48" t="s">
        <v>310</v>
      </c>
      <c r="D110" s="207"/>
      <c r="E110" s="207"/>
      <c r="F110" s="207"/>
      <c r="G110" s="207"/>
      <c r="H110" s="207"/>
      <c r="I110" s="207"/>
      <c r="J110" s="207"/>
      <c r="K110" s="207"/>
      <c r="L110" s="207"/>
      <c r="M110" s="207"/>
      <c r="N110" s="207"/>
      <c r="O110" s="207"/>
      <c r="P110" s="208">
        <f t="shared" si="32"/>
        <v>0</v>
      </c>
      <c r="Q110" s="214" t="str">
        <f t="shared" si="26"/>
        <v/>
      </c>
    </row>
    <row r="111" spans="2:17" ht="15" customHeight="1" x14ac:dyDescent="0.25">
      <c r="B111" s="210"/>
      <c r="C111" s="209"/>
      <c r="D111" s="207"/>
      <c r="E111" s="207"/>
      <c r="F111" s="207"/>
      <c r="G111" s="207"/>
      <c r="H111" s="207"/>
      <c r="I111" s="207"/>
      <c r="J111" s="207"/>
      <c r="K111" s="207"/>
      <c r="L111" s="207"/>
      <c r="M111" s="207"/>
      <c r="N111" s="207"/>
      <c r="O111" s="207"/>
      <c r="P111" s="208">
        <f t="shared" si="32"/>
        <v>0</v>
      </c>
      <c r="Q111" s="214" t="str">
        <f t="shared" si="26"/>
        <v/>
      </c>
    </row>
    <row r="112" spans="2:17" ht="15" customHeight="1" x14ac:dyDescent="0.25">
      <c r="B112" s="210"/>
      <c r="C112" s="209"/>
      <c r="D112" s="207"/>
      <c r="E112" s="207"/>
      <c r="F112" s="207"/>
      <c r="G112" s="207"/>
      <c r="H112" s="207"/>
      <c r="I112" s="207"/>
      <c r="J112" s="207"/>
      <c r="K112" s="207"/>
      <c r="L112" s="207"/>
      <c r="M112" s="207"/>
      <c r="N112" s="207"/>
      <c r="O112" s="207"/>
      <c r="P112" s="208"/>
      <c r="Q112" s="214" t="str">
        <f t="shared" si="26"/>
        <v/>
      </c>
    </row>
    <row r="113" spans="1:17" ht="15" customHeight="1" x14ac:dyDescent="0.25">
      <c r="B113" s="73" t="s">
        <v>311</v>
      </c>
      <c r="C113" s="53" t="s">
        <v>312</v>
      </c>
      <c r="D113" s="211">
        <f>SUM(D114:D123)</f>
        <v>13788.980000000001</v>
      </c>
      <c r="E113" s="211">
        <f t="shared" ref="E113:P113" si="33">SUM(E114:E123)</f>
        <v>13271.62</v>
      </c>
      <c r="F113" s="211">
        <f t="shared" si="33"/>
        <v>2579.44</v>
      </c>
      <c r="G113" s="211">
        <f t="shared" si="33"/>
        <v>765.84</v>
      </c>
      <c r="H113" s="211">
        <f t="shared" si="33"/>
        <v>3245.91</v>
      </c>
      <c r="I113" s="211">
        <f t="shared" si="33"/>
        <v>1225.93</v>
      </c>
      <c r="J113" s="211">
        <f t="shared" si="33"/>
        <v>1228.5999999999999</v>
      </c>
      <c r="K113" s="211">
        <f t="shared" si="33"/>
        <v>0</v>
      </c>
      <c r="L113" s="211">
        <f t="shared" si="33"/>
        <v>0</v>
      </c>
      <c r="M113" s="211">
        <f t="shared" si="33"/>
        <v>0</v>
      </c>
      <c r="N113" s="211">
        <f t="shared" si="33"/>
        <v>0</v>
      </c>
      <c r="O113" s="211">
        <f t="shared" si="33"/>
        <v>0</v>
      </c>
      <c r="P113" s="112">
        <f t="shared" si="33"/>
        <v>36106.32</v>
      </c>
      <c r="Q113" s="212">
        <f t="shared" si="26"/>
        <v>46.146035725477908</v>
      </c>
    </row>
    <row r="114" spans="1:17" ht="15" customHeight="1" x14ac:dyDescent="0.25">
      <c r="B114" s="77" t="s">
        <v>313</v>
      </c>
      <c r="C114" s="48" t="s">
        <v>314</v>
      </c>
      <c r="D114" s="207">
        <v>13550.7</v>
      </c>
      <c r="E114" s="207"/>
      <c r="F114" s="207"/>
      <c r="G114" s="207"/>
      <c r="H114" s="207"/>
      <c r="I114" s="207"/>
      <c r="J114" s="207"/>
      <c r="K114" s="207"/>
      <c r="L114" s="207"/>
      <c r="M114" s="207"/>
      <c r="N114" s="207"/>
      <c r="O114" s="207"/>
      <c r="P114" s="208">
        <f t="shared" ref="P114:P122" si="34">SUM(D114:O114)</f>
        <v>13550.7</v>
      </c>
      <c r="Q114" s="214" t="str">
        <f t="shared" si="26"/>
        <v/>
      </c>
    </row>
    <row r="115" spans="1:17" ht="15" customHeight="1" x14ac:dyDescent="0.25">
      <c r="B115" s="77" t="s">
        <v>315</v>
      </c>
      <c r="C115" s="209" t="s">
        <v>720</v>
      </c>
      <c r="D115" s="207">
        <v>238.28</v>
      </c>
      <c r="E115" s="207">
        <v>13271.62</v>
      </c>
      <c r="F115" s="207">
        <v>2579.44</v>
      </c>
      <c r="G115" s="207">
        <v>765.84</v>
      </c>
      <c r="H115" s="207">
        <v>3245.91</v>
      </c>
      <c r="I115" s="207">
        <v>1225.93</v>
      </c>
      <c r="J115" s="207">
        <v>1228.5999999999999</v>
      </c>
      <c r="K115" s="207"/>
      <c r="L115" s="207"/>
      <c r="M115" s="207"/>
      <c r="N115" s="207"/>
      <c r="O115" s="207"/>
      <c r="P115" s="208">
        <f t="shared" si="34"/>
        <v>22555.62</v>
      </c>
      <c r="Q115" s="214">
        <f t="shared" si="26"/>
        <v>28.452130993418987</v>
      </c>
    </row>
    <row r="116" spans="1:17" ht="15" customHeight="1" x14ac:dyDescent="0.25">
      <c r="B116" s="77" t="s">
        <v>316</v>
      </c>
      <c r="C116" s="209"/>
      <c r="D116" s="207"/>
      <c r="E116" s="207"/>
      <c r="F116" s="207"/>
      <c r="G116" s="207"/>
      <c r="H116" s="207"/>
      <c r="I116" s="207"/>
      <c r="J116" s="207"/>
      <c r="K116" s="207"/>
      <c r="L116" s="207"/>
      <c r="M116" s="207"/>
      <c r="N116" s="207"/>
      <c r="O116" s="207"/>
      <c r="P116" s="208">
        <f t="shared" si="34"/>
        <v>0</v>
      </c>
      <c r="Q116" s="214" t="str">
        <f t="shared" si="26"/>
        <v/>
      </c>
    </row>
    <row r="117" spans="1:17" ht="15" customHeight="1" x14ac:dyDescent="0.25">
      <c r="B117" s="77" t="s">
        <v>317</v>
      </c>
      <c r="C117" s="48" t="s">
        <v>318</v>
      </c>
      <c r="D117" s="207"/>
      <c r="E117" s="207"/>
      <c r="F117" s="207"/>
      <c r="G117" s="207"/>
      <c r="H117" s="207"/>
      <c r="I117" s="207"/>
      <c r="J117" s="207"/>
      <c r="K117" s="207"/>
      <c r="L117" s="207"/>
      <c r="M117" s="207"/>
      <c r="N117" s="207"/>
      <c r="O117" s="207"/>
      <c r="P117" s="208">
        <f t="shared" si="34"/>
        <v>0</v>
      </c>
      <c r="Q117" s="214" t="str">
        <f t="shared" si="26"/>
        <v/>
      </c>
    </row>
    <row r="118" spans="1:17" ht="15" customHeight="1" x14ac:dyDescent="0.25">
      <c r="B118" s="77" t="s">
        <v>319</v>
      </c>
      <c r="C118" s="48" t="s">
        <v>320</v>
      </c>
      <c r="D118" s="207"/>
      <c r="E118" s="207"/>
      <c r="F118" s="207"/>
      <c r="G118" s="207"/>
      <c r="H118" s="207"/>
      <c r="I118" s="207"/>
      <c r="J118" s="207"/>
      <c r="K118" s="207"/>
      <c r="L118" s="207"/>
      <c r="M118" s="207"/>
      <c r="N118" s="207"/>
      <c r="O118" s="207"/>
      <c r="P118" s="208">
        <f t="shared" si="34"/>
        <v>0</v>
      </c>
      <c r="Q118" s="214" t="str">
        <f t="shared" si="26"/>
        <v/>
      </c>
    </row>
    <row r="119" spans="1:17" ht="15" customHeight="1" x14ac:dyDescent="0.25">
      <c r="B119" s="77" t="s">
        <v>321</v>
      </c>
      <c r="C119" s="209"/>
      <c r="D119" s="207"/>
      <c r="E119" s="207"/>
      <c r="F119" s="207"/>
      <c r="G119" s="207"/>
      <c r="H119" s="207"/>
      <c r="I119" s="207"/>
      <c r="J119" s="207"/>
      <c r="K119" s="207"/>
      <c r="L119" s="207"/>
      <c r="M119" s="207"/>
      <c r="N119" s="207"/>
      <c r="O119" s="207"/>
      <c r="P119" s="208">
        <f t="shared" si="34"/>
        <v>0</v>
      </c>
      <c r="Q119" s="214" t="str">
        <f t="shared" si="26"/>
        <v/>
      </c>
    </row>
    <row r="120" spans="1:17" ht="15" customHeight="1" x14ac:dyDescent="0.25">
      <c r="B120" s="77" t="s">
        <v>322</v>
      </c>
      <c r="C120" s="209"/>
      <c r="D120" s="207"/>
      <c r="E120" s="207"/>
      <c r="F120" s="207"/>
      <c r="G120" s="207"/>
      <c r="H120" s="207"/>
      <c r="I120" s="207"/>
      <c r="J120" s="207"/>
      <c r="K120" s="207"/>
      <c r="L120" s="207"/>
      <c r="M120" s="207"/>
      <c r="N120" s="207"/>
      <c r="O120" s="207"/>
      <c r="P120" s="208">
        <f t="shared" si="34"/>
        <v>0</v>
      </c>
      <c r="Q120" s="214" t="str">
        <f t="shared" si="26"/>
        <v/>
      </c>
    </row>
    <row r="121" spans="1:17" ht="15" customHeight="1" x14ac:dyDescent="0.25">
      <c r="B121" s="77" t="s">
        <v>286</v>
      </c>
      <c r="C121" s="48" t="s">
        <v>323</v>
      </c>
      <c r="D121" s="207"/>
      <c r="E121" s="207"/>
      <c r="F121" s="207"/>
      <c r="G121" s="207"/>
      <c r="H121" s="207"/>
      <c r="I121" s="207"/>
      <c r="J121" s="207"/>
      <c r="K121" s="207"/>
      <c r="L121" s="207"/>
      <c r="M121" s="207"/>
      <c r="N121" s="207"/>
      <c r="O121" s="207"/>
      <c r="P121" s="208">
        <f t="shared" si="34"/>
        <v>0</v>
      </c>
      <c r="Q121" s="214" t="str">
        <f t="shared" si="26"/>
        <v/>
      </c>
    </row>
    <row r="122" spans="1:17" ht="15" customHeight="1" x14ac:dyDescent="0.25">
      <c r="B122" s="210"/>
      <c r="C122" s="209"/>
      <c r="D122" s="207"/>
      <c r="E122" s="207"/>
      <c r="F122" s="207"/>
      <c r="G122" s="207"/>
      <c r="H122" s="207"/>
      <c r="I122" s="207"/>
      <c r="J122" s="207"/>
      <c r="K122" s="207"/>
      <c r="L122" s="207"/>
      <c r="M122" s="207"/>
      <c r="N122" s="207"/>
      <c r="O122" s="207"/>
      <c r="P122" s="208">
        <f t="shared" si="34"/>
        <v>0</v>
      </c>
      <c r="Q122" s="214" t="str">
        <f t="shared" si="26"/>
        <v/>
      </c>
    </row>
    <row r="123" spans="1:17" ht="15" customHeight="1" x14ac:dyDescent="0.25">
      <c r="B123" s="210"/>
      <c r="C123" s="209"/>
      <c r="D123" s="207"/>
      <c r="E123" s="207"/>
      <c r="F123" s="207"/>
      <c r="G123" s="207"/>
      <c r="H123" s="207"/>
      <c r="I123" s="207"/>
      <c r="J123" s="207"/>
      <c r="K123" s="207"/>
      <c r="L123" s="207"/>
      <c r="M123" s="207"/>
      <c r="N123" s="207"/>
      <c r="O123" s="207"/>
      <c r="P123" s="208"/>
      <c r="Q123" s="214" t="str">
        <f t="shared" si="26"/>
        <v/>
      </c>
    </row>
    <row r="124" spans="1:17" ht="21" customHeight="1" x14ac:dyDescent="0.25">
      <c r="B124" s="449" t="s">
        <v>424</v>
      </c>
      <c r="C124" s="450"/>
      <c r="D124" s="118">
        <f>D14+D18+D30+D67+D75+D82+D94+D101+D113</f>
        <v>447970.75999999995</v>
      </c>
      <c r="E124" s="119">
        <f>E14+E18+E30+E67+E75+E82+E94+E101+E113</f>
        <v>150073.59999999998</v>
      </c>
      <c r="F124" s="119">
        <f>F14+F18+F30+F67+F75+F82+F94+F101+F113</f>
        <v>398968.79</v>
      </c>
      <c r="G124" s="119">
        <f>G14+G18+G30+G67+G75+G82+G94+G101+G113</f>
        <v>407287.2</v>
      </c>
      <c r="H124" s="119"/>
      <c r="I124" s="119"/>
      <c r="J124" s="119"/>
      <c r="K124" s="119"/>
      <c r="L124" s="119"/>
      <c r="M124" s="119"/>
      <c r="N124" s="119"/>
      <c r="O124" s="119"/>
      <c r="P124" s="119">
        <f>P14+P18+P30+P67+P75+P82+P94+P101+P113</f>
        <v>2979258.73</v>
      </c>
      <c r="Q124" s="120">
        <f t="shared" si="26"/>
        <v>6.3148842634877793</v>
      </c>
    </row>
    <row r="125" spans="1:17" ht="15" customHeight="1" x14ac:dyDescent="0.25">
      <c r="A125" s="81"/>
      <c r="B125" s="81"/>
      <c r="C125" s="81"/>
      <c r="D125" s="81"/>
      <c r="E125" s="81"/>
      <c r="F125" s="81"/>
      <c r="G125" s="81"/>
      <c r="H125" s="81"/>
      <c r="I125" s="81"/>
      <c r="J125" s="81"/>
      <c r="K125" s="81"/>
      <c r="L125" s="81"/>
      <c r="M125" s="81"/>
      <c r="N125" s="81"/>
      <c r="O125" s="81"/>
      <c r="P125" s="81"/>
      <c r="Q125" s="81"/>
    </row>
    <row r="126" spans="1:17" ht="15" customHeight="1" x14ac:dyDescent="0.25">
      <c r="A126" s="81"/>
      <c r="B126" s="81"/>
      <c r="C126" s="81"/>
      <c r="D126" s="81"/>
      <c r="E126" s="81"/>
      <c r="F126" s="81"/>
      <c r="G126" s="81"/>
      <c r="H126" s="81"/>
      <c r="I126" s="81"/>
      <c r="J126" s="81"/>
      <c r="K126" s="81"/>
      <c r="L126" s="81"/>
      <c r="M126" s="81"/>
      <c r="N126" s="81"/>
      <c r="O126" s="81"/>
      <c r="P126" s="122" t="s">
        <v>432</v>
      </c>
      <c r="Q126" s="121" t="str">
        <f>IF(COVER!$K$6&lt;&gt;"",CONCATENATE("milhares ",COVER!$K$6),"")</f>
        <v>milhares MZN</v>
      </c>
    </row>
    <row r="127" spans="1:17" s="31" customFormat="1" ht="31.5" customHeight="1" x14ac:dyDescent="0.25">
      <c r="B127" s="67"/>
      <c r="C127" s="102"/>
      <c r="D127" s="68" t="str">
        <f>D10</f>
        <v>JAN</v>
      </c>
      <c r="E127" s="68" t="str">
        <f t="shared" ref="E127:O127" si="35">E10</f>
        <v>FEV</v>
      </c>
      <c r="F127" s="68" t="str">
        <f t="shared" si="35"/>
        <v>MARCH</v>
      </c>
      <c r="G127" s="68" t="str">
        <f t="shared" si="35"/>
        <v>APRIL</v>
      </c>
      <c r="H127" s="68" t="str">
        <f t="shared" si="35"/>
        <v>MAY</v>
      </c>
      <c r="I127" s="68" t="str">
        <f t="shared" si="35"/>
        <v>JUNE</v>
      </c>
      <c r="J127" s="68" t="str">
        <f t="shared" si="35"/>
        <v>JULY</v>
      </c>
      <c r="K127" s="68" t="str">
        <f t="shared" si="35"/>
        <v>AUGUST</v>
      </c>
      <c r="L127" s="68" t="str">
        <f t="shared" si="35"/>
        <v>SEPTEMBER</v>
      </c>
      <c r="M127" s="68" t="str">
        <f t="shared" si="35"/>
        <v>OCTOBER</v>
      </c>
      <c r="N127" s="68" t="str">
        <f t="shared" si="35"/>
        <v>NOVEMBER</v>
      </c>
      <c r="O127" s="68" t="str">
        <f t="shared" si="35"/>
        <v>DEZEMBER</v>
      </c>
      <c r="P127" s="69">
        <f>$F$3</f>
        <v>2022</v>
      </c>
      <c r="Q127" s="70" t="str">
        <f>IF(AND(G127&lt;&gt;"",P127&lt;&gt;""),CONCATENATE("Variação % (",P127,"/",G127,")"),"")</f>
        <v>Variação % (2022/APRIL)</v>
      </c>
    </row>
    <row r="128" spans="1:17" ht="15" customHeight="1" x14ac:dyDescent="0.25">
      <c r="A128" s="81"/>
      <c r="B128" s="81"/>
      <c r="C128" s="81"/>
      <c r="D128" s="81"/>
      <c r="E128" s="81"/>
      <c r="F128" s="81"/>
      <c r="G128" s="81"/>
      <c r="H128" s="81"/>
      <c r="I128" s="81"/>
      <c r="J128" s="81"/>
      <c r="K128" s="81"/>
      <c r="L128" s="81"/>
      <c r="M128" s="81"/>
      <c r="N128" s="81"/>
      <c r="O128" s="81"/>
      <c r="Q128" s="3"/>
    </row>
    <row r="129" spans="2:17" ht="21" customHeight="1" x14ac:dyDescent="0.25">
      <c r="B129" s="370" t="s">
        <v>423</v>
      </c>
      <c r="C129" s="370"/>
      <c r="D129" s="371"/>
      <c r="E129" s="371"/>
      <c r="F129" s="371"/>
      <c r="G129" s="371"/>
      <c r="H129" s="371"/>
      <c r="I129" s="371"/>
      <c r="J129" s="371"/>
      <c r="K129" s="371"/>
      <c r="L129" s="371"/>
      <c r="M129" s="371"/>
      <c r="N129" s="371"/>
      <c r="O129" s="371"/>
      <c r="P129" s="371"/>
      <c r="Q129" s="372"/>
    </row>
    <row r="130" spans="2:17" ht="15" customHeight="1" x14ac:dyDescent="0.25">
      <c r="B130" s="72"/>
      <c r="C130" s="51"/>
      <c r="D130" s="91"/>
      <c r="E130" s="91"/>
      <c r="F130" s="91"/>
      <c r="G130" s="91"/>
      <c r="H130" s="91"/>
      <c r="I130" s="91"/>
      <c r="J130" s="91"/>
      <c r="K130" s="91"/>
      <c r="L130" s="91"/>
      <c r="M130" s="91"/>
      <c r="N130" s="91"/>
      <c r="O130" s="91"/>
      <c r="P130" s="107"/>
      <c r="Q130" s="215"/>
    </row>
    <row r="131" spans="2:17" ht="15" customHeight="1" x14ac:dyDescent="0.25">
      <c r="B131" s="73" t="s">
        <v>324</v>
      </c>
      <c r="C131" s="53" t="s">
        <v>325</v>
      </c>
      <c r="D131" s="211">
        <f>SUM(D132:D142)</f>
        <v>0</v>
      </c>
      <c r="E131" s="211">
        <f t="shared" ref="E131:P131" si="36">SUM(E132:E142)</f>
        <v>0</v>
      </c>
      <c r="F131" s="211">
        <f t="shared" si="36"/>
        <v>0</v>
      </c>
      <c r="G131" s="211">
        <f t="shared" si="36"/>
        <v>0</v>
      </c>
      <c r="H131" s="211">
        <f t="shared" ref="H131:O131" si="37">SUM(H132:H142)</f>
        <v>0</v>
      </c>
      <c r="I131" s="211">
        <f t="shared" si="37"/>
        <v>0</v>
      </c>
      <c r="J131" s="211">
        <f t="shared" si="37"/>
        <v>0</v>
      </c>
      <c r="K131" s="211">
        <f t="shared" si="37"/>
        <v>0</v>
      </c>
      <c r="L131" s="211">
        <f t="shared" si="37"/>
        <v>0</v>
      </c>
      <c r="M131" s="211">
        <f t="shared" si="37"/>
        <v>0</v>
      </c>
      <c r="N131" s="211">
        <f t="shared" si="37"/>
        <v>0</v>
      </c>
      <c r="O131" s="211">
        <f t="shared" si="37"/>
        <v>0</v>
      </c>
      <c r="P131" s="112">
        <f t="shared" si="36"/>
        <v>0</v>
      </c>
      <c r="Q131" s="212" t="str">
        <f t="shared" ref="Q131:Q194" si="38">IFERROR(IF(AND(G131&lt;0,P131&lt;=0),-(P131-G131)/G131,IF(AND(G131&lt;0,P131&gt;0),-(P131-G131)/G131,(P131-G131)/G131)),"")</f>
        <v/>
      </c>
    </row>
    <row r="132" spans="2:17" ht="15" customHeight="1" x14ac:dyDescent="0.25">
      <c r="B132" s="77" t="s">
        <v>326</v>
      </c>
      <c r="C132" s="48" t="s">
        <v>327</v>
      </c>
      <c r="D132" s="207"/>
      <c r="E132" s="207"/>
      <c r="F132" s="207"/>
      <c r="G132" s="207"/>
      <c r="H132" s="207"/>
      <c r="I132" s="207"/>
      <c r="J132" s="207"/>
      <c r="K132" s="207"/>
      <c r="L132" s="207"/>
      <c r="M132" s="207"/>
      <c r="N132" s="207"/>
      <c r="O132" s="207"/>
      <c r="P132" s="208">
        <f t="shared" ref="P132:P141" si="39">SUM(D132:O132)</f>
        <v>0</v>
      </c>
      <c r="Q132" s="214" t="str">
        <f t="shared" si="38"/>
        <v/>
      </c>
    </row>
    <row r="133" spans="2:17" ht="15" customHeight="1" x14ac:dyDescent="0.25">
      <c r="B133" s="77" t="s">
        <v>328</v>
      </c>
      <c r="C133" s="48" t="s">
        <v>329</v>
      </c>
      <c r="D133" s="207"/>
      <c r="E133" s="207"/>
      <c r="F133" s="207"/>
      <c r="G133" s="207"/>
      <c r="H133" s="207"/>
      <c r="I133" s="207"/>
      <c r="J133" s="207"/>
      <c r="K133" s="207"/>
      <c r="L133" s="207"/>
      <c r="M133" s="207"/>
      <c r="N133" s="207"/>
      <c r="O133" s="207"/>
      <c r="P133" s="208">
        <f t="shared" si="39"/>
        <v>0</v>
      </c>
      <c r="Q133" s="214" t="str">
        <f t="shared" si="38"/>
        <v/>
      </c>
    </row>
    <row r="134" spans="2:17" ht="15" customHeight="1" x14ac:dyDescent="0.25">
      <c r="B134" s="77" t="s">
        <v>330</v>
      </c>
      <c r="C134" s="48" t="s">
        <v>331</v>
      </c>
      <c r="D134" s="207"/>
      <c r="E134" s="207"/>
      <c r="F134" s="207"/>
      <c r="G134" s="207"/>
      <c r="H134" s="207"/>
      <c r="I134" s="207"/>
      <c r="J134" s="207"/>
      <c r="K134" s="207"/>
      <c r="L134" s="207"/>
      <c r="M134" s="207"/>
      <c r="N134" s="207"/>
      <c r="O134" s="207"/>
      <c r="P134" s="208">
        <f t="shared" si="39"/>
        <v>0</v>
      </c>
      <c r="Q134" s="214" t="str">
        <f t="shared" si="38"/>
        <v/>
      </c>
    </row>
    <row r="135" spans="2:17" ht="15" customHeight="1" x14ac:dyDescent="0.25">
      <c r="B135" s="77" t="s">
        <v>332</v>
      </c>
      <c r="C135" s="48" t="s">
        <v>110</v>
      </c>
      <c r="D135" s="207"/>
      <c r="E135" s="207"/>
      <c r="F135" s="207"/>
      <c r="G135" s="207"/>
      <c r="H135" s="207"/>
      <c r="I135" s="207"/>
      <c r="J135" s="207"/>
      <c r="K135" s="207"/>
      <c r="L135" s="207"/>
      <c r="M135" s="207"/>
      <c r="N135" s="207"/>
      <c r="O135" s="207"/>
      <c r="P135" s="208">
        <f t="shared" si="39"/>
        <v>0</v>
      </c>
      <c r="Q135" s="214" t="str">
        <f t="shared" si="38"/>
        <v/>
      </c>
    </row>
    <row r="136" spans="2:17" ht="15" customHeight="1" x14ac:dyDescent="0.25">
      <c r="B136" s="77" t="s">
        <v>333</v>
      </c>
      <c r="C136" s="48" t="s">
        <v>334</v>
      </c>
      <c r="D136" s="207"/>
      <c r="E136" s="207"/>
      <c r="F136" s="207"/>
      <c r="G136" s="207"/>
      <c r="H136" s="207"/>
      <c r="I136" s="207"/>
      <c r="J136" s="207"/>
      <c r="K136" s="207"/>
      <c r="L136" s="207"/>
      <c r="M136" s="207"/>
      <c r="N136" s="207"/>
      <c r="O136" s="207"/>
      <c r="P136" s="208">
        <f t="shared" si="39"/>
        <v>0</v>
      </c>
      <c r="Q136" s="214" t="str">
        <f t="shared" si="38"/>
        <v/>
      </c>
    </row>
    <row r="137" spans="2:17" ht="15" customHeight="1" x14ac:dyDescent="0.25">
      <c r="B137" s="77" t="s">
        <v>335</v>
      </c>
      <c r="C137" s="48" t="s">
        <v>336</v>
      </c>
      <c r="D137" s="207"/>
      <c r="E137" s="207"/>
      <c r="F137" s="207"/>
      <c r="G137" s="207"/>
      <c r="H137" s="207"/>
      <c r="I137" s="207"/>
      <c r="J137" s="207"/>
      <c r="K137" s="207"/>
      <c r="L137" s="207"/>
      <c r="M137" s="207"/>
      <c r="N137" s="207"/>
      <c r="O137" s="207"/>
      <c r="P137" s="208">
        <f t="shared" si="39"/>
        <v>0</v>
      </c>
      <c r="Q137" s="214" t="str">
        <f t="shared" si="38"/>
        <v/>
      </c>
    </row>
    <row r="138" spans="2:17" ht="15" customHeight="1" x14ac:dyDescent="0.25">
      <c r="B138" s="77" t="s">
        <v>337</v>
      </c>
      <c r="C138" s="48" t="s">
        <v>338</v>
      </c>
      <c r="D138" s="207"/>
      <c r="E138" s="207"/>
      <c r="F138" s="207"/>
      <c r="G138" s="207"/>
      <c r="H138" s="207"/>
      <c r="I138" s="207"/>
      <c r="J138" s="207"/>
      <c r="K138" s="207"/>
      <c r="L138" s="207"/>
      <c r="M138" s="207"/>
      <c r="N138" s="207"/>
      <c r="O138" s="207"/>
      <c r="P138" s="208">
        <f t="shared" si="39"/>
        <v>0</v>
      </c>
      <c r="Q138" s="214" t="str">
        <f t="shared" si="38"/>
        <v/>
      </c>
    </row>
    <row r="139" spans="2:17" ht="15" customHeight="1" x14ac:dyDescent="0.25">
      <c r="B139" s="77" t="s">
        <v>339</v>
      </c>
      <c r="C139" s="209"/>
      <c r="D139" s="207"/>
      <c r="E139" s="207"/>
      <c r="F139" s="207"/>
      <c r="G139" s="207"/>
      <c r="H139" s="207"/>
      <c r="I139" s="207"/>
      <c r="J139" s="207"/>
      <c r="K139" s="207"/>
      <c r="L139" s="207"/>
      <c r="M139" s="207"/>
      <c r="N139" s="207"/>
      <c r="O139" s="207"/>
      <c r="P139" s="208">
        <f t="shared" si="39"/>
        <v>0</v>
      </c>
      <c r="Q139" s="214" t="str">
        <f t="shared" si="38"/>
        <v/>
      </c>
    </row>
    <row r="140" spans="2:17" ht="15" customHeight="1" x14ac:dyDescent="0.25">
      <c r="B140" s="77" t="s">
        <v>340</v>
      </c>
      <c r="C140" s="209"/>
      <c r="D140" s="207"/>
      <c r="E140" s="207"/>
      <c r="F140" s="207"/>
      <c r="G140" s="207"/>
      <c r="H140" s="207"/>
      <c r="I140" s="207"/>
      <c r="J140" s="207"/>
      <c r="K140" s="207"/>
      <c r="L140" s="207"/>
      <c r="M140" s="207"/>
      <c r="N140" s="207"/>
      <c r="O140" s="207"/>
      <c r="P140" s="208">
        <f t="shared" si="39"/>
        <v>0</v>
      </c>
      <c r="Q140" s="214" t="str">
        <f t="shared" si="38"/>
        <v/>
      </c>
    </row>
    <row r="141" spans="2:17" ht="15" customHeight="1" x14ac:dyDescent="0.25">
      <c r="B141" s="210"/>
      <c r="C141" s="209"/>
      <c r="D141" s="207"/>
      <c r="E141" s="207"/>
      <c r="F141" s="207"/>
      <c r="G141" s="207"/>
      <c r="H141" s="207"/>
      <c r="I141" s="207"/>
      <c r="J141" s="207"/>
      <c r="K141" s="207"/>
      <c r="L141" s="207"/>
      <c r="M141" s="207"/>
      <c r="N141" s="207"/>
      <c r="O141" s="207"/>
      <c r="P141" s="208">
        <f t="shared" si="39"/>
        <v>0</v>
      </c>
      <c r="Q141" s="214" t="str">
        <f t="shared" si="38"/>
        <v/>
      </c>
    </row>
    <row r="142" spans="2:17" ht="15" customHeight="1" x14ac:dyDescent="0.25">
      <c r="B142" s="210"/>
      <c r="C142" s="209"/>
      <c r="D142" s="207"/>
      <c r="E142" s="207"/>
      <c r="F142" s="207"/>
      <c r="G142" s="207"/>
      <c r="H142" s="207"/>
      <c r="I142" s="207"/>
      <c r="J142" s="207"/>
      <c r="K142" s="207"/>
      <c r="L142" s="207"/>
      <c r="M142" s="207"/>
      <c r="N142" s="207"/>
      <c r="O142" s="207"/>
      <c r="P142" s="208"/>
      <c r="Q142" s="214" t="str">
        <f t="shared" si="38"/>
        <v/>
      </c>
    </row>
    <row r="143" spans="2:17" ht="15" customHeight="1" x14ac:dyDescent="0.25">
      <c r="B143" s="73" t="s">
        <v>341</v>
      </c>
      <c r="C143" s="53" t="s">
        <v>342</v>
      </c>
      <c r="D143" s="211">
        <f>SUM(D144:D152)</f>
        <v>0</v>
      </c>
      <c r="E143" s="211">
        <f t="shared" ref="E143:P143" si="40">SUM(E144:E152)</f>
        <v>0</v>
      </c>
      <c r="F143" s="211">
        <f t="shared" si="40"/>
        <v>0</v>
      </c>
      <c r="G143" s="211">
        <f t="shared" si="40"/>
        <v>0</v>
      </c>
      <c r="H143" s="211">
        <f t="shared" ref="H143:O143" si="41">SUM(H144:H152)</f>
        <v>0</v>
      </c>
      <c r="I143" s="211">
        <f t="shared" si="41"/>
        <v>0</v>
      </c>
      <c r="J143" s="211">
        <f t="shared" si="41"/>
        <v>0</v>
      </c>
      <c r="K143" s="211">
        <f t="shared" si="41"/>
        <v>0</v>
      </c>
      <c r="L143" s="211">
        <f t="shared" si="41"/>
        <v>0</v>
      </c>
      <c r="M143" s="211">
        <f t="shared" si="41"/>
        <v>0</v>
      </c>
      <c r="N143" s="211">
        <f t="shared" si="41"/>
        <v>0</v>
      </c>
      <c r="O143" s="211">
        <f t="shared" si="41"/>
        <v>0</v>
      </c>
      <c r="P143" s="112">
        <f t="shared" si="40"/>
        <v>0</v>
      </c>
      <c r="Q143" s="212" t="str">
        <f t="shared" si="38"/>
        <v/>
      </c>
    </row>
    <row r="144" spans="2:17" ht="15" customHeight="1" x14ac:dyDescent="0.25">
      <c r="B144" s="77" t="s">
        <v>343</v>
      </c>
      <c r="C144" s="48" t="s">
        <v>344</v>
      </c>
      <c r="D144" s="207"/>
      <c r="E144" s="207"/>
      <c r="F144" s="207"/>
      <c r="G144" s="207"/>
      <c r="H144" s="207"/>
      <c r="I144" s="207"/>
      <c r="J144" s="207"/>
      <c r="K144" s="207"/>
      <c r="L144" s="207"/>
      <c r="M144" s="207"/>
      <c r="N144" s="207"/>
      <c r="O144" s="207"/>
      <c r="P144" s="208">
        <f t="shared" ref="P144:P151" si="42">SUM(D144:O144)</f>
        <v>0</v>
      </c>
      <c r="Q144" s="214" t="str">
        <f t="shared" si="38"/>
        <v/>
      </c>
    </row>
    <row r="145" spans="2:17" ht="15" customHeight="1" x14ac:dyDescent="0.25">
      <c r="B145" s="77" t="s">
        <v>345</v>
      </c>
      <c r="C145" s="209" t="s">
        <v>719</v>
      </c>
      <c r="D145" s="207"/>
      <c r="E145" s="207"/>
      <c r="F145" s="207"/>
      <c r="G145" s="207"/>
      <c r="H145" s="207"/>
      <c r="I145" s="207"/>
      <c r="J145" s="207"/>
      <c r="K145" s="207"/>
      <c r="L145" s="207"/>
      <c r="M145" s="207"/>
      <c r="N145" s="207"/>
      <c r="O145" s="207"/>
      <c r="P145" s="208">
        <f t="shared" si="42"/>
        <v>0</v>
      </c>
      <c r="Q145" s="214" t="str">
        <f t="shared" si="38"/>
        <v/>
      </c>
    </row>
    <row r="146" spans="2:17" ht="15" customHeight="1" x14ac:dyDescent="0.25">
      <c r="B146" s="77" t="s">
        <v>346</v>
      </c>
      <c r="C146" s="209"/>
      <c r="D146" s="207"/>
      <c r="E146" s="207"/>
      <c r="F146" s="207"/>
      <c r="G146" s="207"/>
      <c r="H146" s="207"/>
      <c r="I146" s="207"/>
      <c r="J146" s="207"/>
      <c r="K146" s="207"/>
      <c r="L146" s="207"/>
      <c r="M146" s="207"/>
      <c r="N146" s="207"/>
      <c r="O146" s="207"/>
      <c r="P146" s="208">
        <f t="shared" si="42"/>
        <v>0</v>
      </c>
      <c r="Q146" s="214" t="str">
        <f t="shared" si="38"/>
        <v/>
      </c>
    </row>
    <row r="147" spans="2:17" ht="15" customHeight="1" x14ac:dyDescent="0.25">
      <c r="B147" s="77" t="s">
        <v>347</v>
      </c>
      <c r="C147" s="209"/>
      <c r="D147" s="207"/>
      <c r="E147" s="207"/>
      <c r="F147" s="207"/>
      <c r="G147" s="207"/>
      <c r="H147" s="207"/>
      <c r="I147" s="207"/>
      <c r="J147" s="207"/>
      <c r="K147" s="207"/>
      <c r="L147" s="207"/>
      <c r="M147" s="207"/>
      <c r="N147" s="207"/>
      <c r="O147" s="207"/>
      <c r="P147" s="208">
        <f t="shared" si="42"/>
        <v>0</v>
      </c>
      <c r="Q147" s="214" t="str">
        <f t="shared" si="38"/>
        <v/>
      </c>
    </row>
    <row r="148" spans="2:17" ht="15" customHeight="1" x14ac:dyDescent="0.25">
      <c r="B148" s="77" t="s">
        <v>348</v>
      </c>
      <c r="C148" s="209"/>
      <c r="D148" s="207"/>
      <c r="E148" s="207"/>
      <c r="F148" s="207"/>
      <c r="G148" s="207"/>
      <c r="H148" s="207"/>
      <c r="I148" s="207"/>
      <c r="J148" s="207"/>
      <c r="K148" s="207"/>
      <c r="L148" s="207"/>
      <c r="M148" s="207"/>
      <c r="N148" s="207"/>
      <c r="O148" s="207"/>
      <c r="P148" s="208">
        <f t="shared" si="42"/>
        <v>0</v>
      </c>
      <c r="Q148" s="214" t="str">
        <f t="shared" si="38"/>
        <v/>
      </c>
    </row>
    <row r="149" spans="2:17" ht="15" customHeight="1" x14ac:dyDescent="0.25">
      <c r="B149" s="77" t="s">
        <v>349</v>
      </c>
      <c r="C149" s="48" t="s">
        <v>338</v>
      </c>
      <c r="D149" s="207"/>
      <c r="E149" s="207"/>
      <c r="F149" s="207"/>
      <c r="G149" s="207"/>
      <c r="H149" s="207"/>
      <c r="I149" s="207"/>
      <c r="J149" s="207"/>
      <c r="K149" s="207"/>
      <c r="L149" s="207"/>
      <c r="M149" s="207"/>
      <c r="N149" s="207"/>
      <c r="O149" s="207"/>
      <c r="P149" s="208">
        <f t="shared" si="42"/>
        <v>0</v>
      </c>
      <c r="Q149" s="214" t="str">
        <f t="shared" si="38"/>
        <v/>
      </c>
    </row>
    <row r="150" spans="2:17" ht="15" customHeight="1" x14ac:dyDescent="0.25">
      <c r="B150" s="210"/>
      <c r="C150" s="209"/>
      <c r="D150" s="207"/>
      <c r="E150" s="207"/>
      <c r="F150" s="207"/>
      <c r="G150" s="207"/>
      <c r="H150" s="207"/>
      <c r="I150" s="207"/>
      <c r="J150" s="207"/>
      <c r="K150" s="207"/>
      <c r="L150" s="207"/>
      <c r="M150" s="207"/>
      <c r="N150" s="207"/>
      <c r="O150" s="207"/>
      <c r="P150" s="208">
        <f t="shared" si="42"/>
        <v>0</v>
      </c>
      <c r="Q150" s="214" t="str">
        <f t="shared" si="38"/>
        <v/>
      </c>
    </row>
    <row r="151" spans="2:17" ht="15" customHeight="1" x14ac:dyDescent="0.25">
      <c r="B151" s="210"/>
      <c r="C151" s="209"/>
      <c r="D151" s="207"/>
      <c r="E151" s="207"/>
      <c r="F151" s="207"/>
      <c r="G151" s="207"/>
      <c r="H151" s="207"/>
      <c r="I151" s="207"/>
      <c r="J151" s="207"/>
      <c r="K151" s="207"/>
      <c r="L151" s="207"/>
      <c r="M151" s="207"/>
      <c r="N151" s="207"/>
      <c r="O151" s="207"/>
      <c r="P151" s="208">
        <f t="shared" si="42"/>
        <v>0</v>
      </c>
      <c r="Q151" s="214" t="str">
        <f t="shared" si="38"/>
        <v/>
      </c>
    </row>
    <row r="152" spans="2:17" ht="15" customHeight="1" x14ac:dyDescent="0.25">
      <c r="B152" s="210"/>
      <c r="C152" s="209"/>
      <c r="D152" s="207"/>
      <c r="E152" s="207"/>
      <c r="F152" s="207"/>
      <c r="G152" s="207"/>
      <c r="H152" s="207"/>
      <c r="I152" s="207"/>
      <c r="J152" s="207"/>
      <c r="K152" s="207"/>
      <c r="L152" s="207"/>
      <c r="M152" s="207"/>
      <c r="N152" s="207"/>
      <c r="O152" s="207"/>
      <c r="P152" s="208"/>
      <c r="Q152" s="214" t="str">
        <f t="shared" si="38"/>
        <v/>
      </c>
    </row>
    <row r="153" spans="2:17" ht="15" customHeight="1" x14ac:dyDescent="0.25">
      <c r="B153" s="73" t="s">
        <v>350</v>
      </c>
      <c r="C153" s="53" t="s">
        <v>351</v>
      </c>
      <c r="D153" s="211">
        <f>SUM(D154:D160)</f>
        <v>0</v>
      </c>
      <c r="E153" s="211">
        <f t="shared" ref="E153:P153" si="43">SUM(E154:E160)</f>
        <v>0</v>
      </c>
      <c r="F153" s="211">
        <f t="shared" si="43"/>
        <v>0</v>
      </c>
      <c r="G153" s="211">
        <f t="shared" si="43"/>
        <v>0</v>
      </c>
      <c r="H153" s="211">
        <f t="shared" ref="H153:O153" si="44">SUM(H154:H160)</f>
        <v>0</v>
      </c>
      <c r="I153" s="211">
        <f t="shared" si="44"/>
        <v>0</v>
      </c>
      <c r="J153" s="211">
        <f t="shared" si="44"/>
        <v>0</v>
      </c>
      <c r="K153" s="211">
        <f t="shared" si="44"/>
        <v>0</v>
      </c>
      <c r="L153" s="211">
        <f t="shared" si="44"/>
        <v>0</v>
      </c>
      <c r="M153" s="211">
        <f t="shared" si="44"/>
        <v>0</v>
      </c>
      <c r="N153" s="211">
        <f t="shared" si="44"/>
        <v>0</v>
      </c>
      <c r="O153" s="211">
        <f t="shared" si="44"/>
        <v>0</v>
      </c>
      <c r="P153" s="112">
        <f t="shared" si="43"/>
        <v>0</v>
      </c>
      <c r="Q153" s="212" t="str">
        <f t="shared" si="38"/>
        <v/>
      </c>
    </row>
    <row r="154" spans="2:17" ht="15" customHeight="1" x14ac:dyDescent="0.25">
      <c r="B154" s="77" t="s">
        <v>352</v>
      </c>
      <c r="C154" s="48" t="s">
        <v>262</v>
      </c>
      <c r="D154" s="207"/>
      <c r="E154" s="207"/>
      <c r="F154" s="207"/>
      <c r="G154" s="207"/>
      <c r="H154" s="207"/>
      <c r="I154" s="207"/>
      <c r="J154" s="207"/>
      <c r="K154" s="207"/>
      <c r="L154" s="207"/>
      <c r="M154" s="207"/>
      <c r="N154" s="207"/>
      <c r="O154" s="207"/>
      <c r="P154" s="208">
        <f t="shared" ref="P154:P159" si="45">SUM(D154:O154)</f>
        <v>0</v>
      </c>
      <c r="Q154" s="214" t="str">
        <f t="shared" si="38"/>
        <v/>
      </c>
    </row>
    <row r="155" spans="2:17" ht="15" customHeight="1" x14ac:dyDescent="0.25">
      <c r="B155" s="77" t="s">
        <v>353</v>
      </c>
      <c r="C155" s="48" t="s">
        <v>354</v>
      </c>
      <c r="D155" s="207"/>
      <c r="E155" s="207"/>
      <c r="F155" s="207"/>
      <c r="G155" s="207"/>
      <c r="H155" s="207"/>
      <c r="I155" s="207"/>
      <c r="J155" s="207"/>
      <c r="K155" s="207"/>
      <c r="L155" s="207"/>
      <c r="M155" s="207"/>
      <c r="N155" s="207"/>
      <c r="O155" s="207"/>
      <c r="P155" s="208">
        <f t="shared" si="45"/>
        <v>0</v>
      </c>
      <c r="Q155" s="214" t="str">
        <f t="shared" si="38"/>
        <v/>
      </c>
    </row>
    <row r="156" spans="2:17" ht="15" customHeight="1" x14ac:dyDescent="0.25">
      <c r="B156" s="77" t="s">
        <v>355</v>
      </c>
      <c r="C156" s="48" t="s">
        <v>356</v>
      </c>
      <c r="D156" s="207"/>
      <c r="E156" s="207"/>
      <c r="F156" s="207"/>
      <c r="G156" s="207"/>
      <c r="H156" s="207"/>
      <c r="I156" s="207"/>
      <c r="J156" s="207"/>
      <c r="K156" s="207"/>
      <c r="L156" s="207"/>
      <c r="M156" s="207"/>
      <c r="N156" s="207"/>
      <c r="O156" s="207"/>
      <c r="P156" s="208">
        <f t="shared" si="45"/>
        <v>0</v>
      </c>
      <c r="Q156" s="214" t="str">
        <f t="shared" si="38"/>
        <v/>
      </c>
    </row>
    <row r="157" spans="2:17" ht="15" customHeight="1" x14ac:dyDescent="0.25">
      <c r="B157" s="77" t="s">
        <v>357</v>
      </c>
      <c r="C157" s="48" t="s">
        <v>698</v>
      </c>
      <c r="D157" s="207"/>
      <c r="E157" s="207"/>
      <c r="F157" s="207"/>
      <c r="G157" s="207"/>
      <c r="H157" s="207"/>
      <c r="I157" s="207"/>
      <c r="J157" s="207"/>
      <c r="K157" s="207"/>
      <c r="L157" s="207"/>
      <c r="M157" s="207"/>
      <c r="N157" s="207"/>
      <c r="O157" s="207"/>
      <c r="P157" s="208">
        <f t="shared" si="45"/>
        <v>0</v>
      </c>
      <c r="Q157" s="214" t="str">
        <f t="shared" si="38"/>
        <v/>
      </c>
    </row>
    <row r="158" spans="2:17" ht="15" customHeight="1" x14ac:dyDescent="0.25">
      <c r="B158" s="210"/>
      <c r="C158" s="209"/>
      <c r="D158" s="207"/>
      <c r="E158" s="207"/>
      <c r="F158" s="207"/>
      <c r="G158" s="207"/>
      <c r="H158" s="207"/>
      <c r="I158" s="207"/>
      <c r="J158" s="207"/>
      <c r="K158" s="207"/>
      <c r="L158" s="207"/>
      <c r="M158" s="207"/>
      <c r="N158" s="207"/>
      <c r="O158" s="207"/>
      <c r="P158" s="208">
        <f t="shared" si="45"/>
        <v>0</v>
      </c>
      <c r="Q158" s="214" t="str">
        <f t="shared" si="38"/>
        <v/>
      </c>
    </row>
    <row r="159" spans="2:17" ht="15" customHeight="1" x14ac:dyDescent="0.25">
      <c r="B159" s="210"/>
      <c r="C159" s="209"/>
      <c r="D159" s="207"/>
      <c r="E159" s="207"/>
      <c r="F159" s="207"/>
      <c r="G159" s="207"/>
      <c r="H159" s="207"/>
      <c r="I159" s="207"/>
      <c r="J159" s="207"/>
      <c r="K159" s="207"/>
      <c r="L159" s="207"/>
      <c r="M159" s="207"/>
      <c r="N159" s="207"/>
      <c r="O159" s="207"/>
      <c r="P159" s="208">
        <f t="shared" si="45"/>
        <v>0</v>
      </c>
      <c r="Q159" s="214" t="str">
        <f t="shared" si="38"/>
        <v/>
      </c>
    </row>
    <row r="160" spans="2:17" ht="15" customHeight="1" x14ac:dyDescent="0.25">
      <c r="B160" s="210"/>
      <c r="C160" s="209"/>
      <c r="D160" s="207"/>
      <c r="E160" s="207"/>
      <c r="F160" s="207"/>
      <c r="G160" s="207"/>
      <c r="H160" s="207"/>
      <c r="I160" s="207"/>
      <c r="J160" s="207"/>
      <c r="K160" s="207"/>
      <c r="L160" s="207"/>
      <c r="M160" s="207"/>
      <c r="N160" s="207"/>
      <c r="O160" s="207"/>
      <c r="P160" s="208"/>
      <c r="Q160" s="214" t="str">
        <f t="shared" si="38"/>
        <v/>
      </c>
    </row>
    <row r="161" spans="2:17" ht="15" customHeight="1" x14ac:dyDescent="0.25">
      <c r="B161" s="73" t="s">
        <v>358</v>
      </c>
      <c r="C161" s="53" t="s">
        <v>359</v>
      </c>
      <c r="D161" s="211">
        <f>SUM(D162:D166)</f>
        <v>0</v>
      </c>
      <c r="E161" s="211">
        <f t="shared" ref="E161:P161" si="46">SUM(E162:E166)</f>
        <v>0</v>
      </c>
      <c r="F161" s="211">
        <f t="shared" si="46"/>
        <v>0</v>
      </c>
      <c r="G161" s="211">
        <f t="shared" si="46"/>
        <v>0</v>
      </c>
      <c r="H161" s="211">
        <f t="shared" ref="H161:O161" si="47">SUM(H162:H166)</f>
        <v>0</v>
      </c>
      <c r="I161" s="211">
        <f t="shared" si="47"/>
        <v>0</v>
      </c>
      <c r="J161" s="211">
        <f t="shared" si="47"/>
        <v>0</v>
      </c>
      <c r="K161" s="211">
        <f t="shared" si="47"/>
        <v>0</v>
      </c>
      <c r="L161" s="211">
        <f t="shared" si="47"/>
        <v>0</v>
      </c>
      <c r="M161" s="211">
        <f t="shared" si="47"/>
        <v>0</v>
      </c>
      <c r="N161" s="211">
        <f t="shared" si="47"/>
        <v>0</v>
      </c>
      <c r="O161" s="211">
        <f t="shared" si="47"/>
        <v>0</v>
      </c>
      <c r="P161" s="112">
        <f t="shared" si="46"/>
        <v>0</v>
      </c>
      <c r="Q161" s="212" t="str">
        <f t="shared" si="38"/>
        <v/>
      </c>
    </row>
    <row r="162" spans="2:17" ht="15" customHeight="1" x14ac:dyDescent="0.25">
      <c r="B162" s="77" t="s">
        <v>360</v>
      </c>
      <c r="C162" s="48" t="s">
        <v>361</v>
      </c>
      <c r="D162" s="207"/>
      <c r="E162" s="207"/>
      <c r="F162" s="207"/>
      <c r="G162" s="207"/>
      <c r="H162" s="207"/>
      <c r="I162" s="207"/>
      <c r="J162" s="207"/>
      <c r="K162" s="207"/>
      <c r="L162" s="207"/>
      <c r="M162" s="207"/>
      <c r="N162" s="207"/>
      <c r="O162" s="207"/>
      <c r="P162" s="208">
        <f t="shared" ref="P162:P165" si="48">SUM(D162:O162)</f>
        <v>0</v>
      </c>
      <c r="Q162" s="214" t="str">
        <f t="shared" si="38"/>
        <v/>
      </c>
    </row>
    <row r="163" spans="2:17" ht="15" customHeight="1" x14ac:dyDescent="0.25">
      <c r="B163" s="77" t="s">
        <v>362</v>
      </c>
      <c r="C163" s="48" t="s">
        <v>363</v>
      </c>
      <c r="D163" s="207"/>
      <c r="E163" s="207"/>
      <c r="F163" s="207"/>
      <c r="G163" s="207"/>
      <c r="H163" s="207"/>
      <c r="I163" s="207"/>
      <c r="J163" s="207"/>
      <c r="K163" s="207"/>
      <c r="L163" s="207"/>
      <c r="M163" s="207"/>
      <c r="N163" s="207"/>
      <c r="O163" s="207"/>
      <c r="P163" s="208">
        <f t="shared" si="48"/>
        <v>0</v>
      </c>
      <c r="Q163" s="214" t="str">
        <f t="shared" si="38"/>
        <v/>
      </c>
    </row>
    <row r="164" spans="2:17" ht="15" customHeight="1" x14ac:dyDescent="0.25">
      <c r="B164" s="77" t="s">
        <v>364</v>
      </c>
      <c r="C164" s="48" t="s">
        <v>365</v>
      </c>
      <c r="D164" s="207"/>
      <c r="E164" s="207"/>
      <c r="F164" s="207"/>
      <c r="G164" s="207"/>
      <c r="H164" s="207"/>
      <c r="I164" s="207"/>
      <c r="J164" s="207"/>
      <c r="K164" s="207"/>
      <c r="L164" s="207"/>
      <c r="M164" s="207"/>
      <c r="N164" s="207"/>
      <c r="O164" s="207"/>
      <c r="P164" s="208">
        <f t="shared" si="48"/>
        <v>0</v>
      </c>
      <c r="Q164" s="214" t="str">
        <f t="shared" si="38"/>
        <v/>
      </c>
    </row>
    <row r="165" spans="2:17" ht="15" customHeight="1" x14ac:dyDescent="0.25">
      <c r="B165" s="210"/>
      <c r="C165" s="209"/>
      <c r="D165" s="207"/>
      <c r="E165" s="207"/>
      <c r="F165" s="207"/>
      <c r="G165" s="207"/>
      <c r="H165" s="207"/>
      <c r="I165" s="207"/>
      <c r="J165" s="207"/>
      <c r="K165" s="207"/>
      <c r="L165" s="207"/>
      <c r="M165" s="207"/>
      <c r="N165" s="207"/>
      <c r="O165" s="207"/>
      <c r="P165" s="208">
        <f t="shared" si="48"/>
        <v>0</v>
      </c>
      <c r="Q165" s="214" t="str">
        <f t="shared" si="38"/>
        <v/>
      </c>
    </row>
    <row r="166" spans="2:17" ht="15" customHeight="1" x14ac:dyDescent="0.25">
      <c r="B166" s="210"/>
      <c r="C166" s="209"/>
      <c r="D166" s="207"/>
      <c r="E166" s="207"/>
      <c r="F166" s="207"/>
      <c r="G166" s="207"/>
      <c r="H166" s="207"/>
      <c r="I166" s="207"/>
      <c r="J166" s="207"/>
      <c r="K166" s="207"/>
      <c r="L166" s="207"/>
      <c r="M166" s="207"/>
      <c r="N166" s="207"/>
      <c r="O166" s="207"/>
      <c r="P166" s="208"/>
      <c r="Q166" s="214" t="str">
        <f t="shared" si="38"/>
        <v/>
      </c>
    </row>
    <row r="167" spans="2:17" ht="15" customHeight="1" x14ac:dyDescent="0.25">
      <c r="B167" s="73" t="s">
        <v>366</v>
      </c>
      <c r="C167" s="53" t="s">
        <v>367</v>
      </c>
      <c r="D167" s="211">
        <f>SUM(D168:D178)</f>
        <v>0</v>
      </c>
      <c r="E167" s="211">
        <f t="shared" ref="E167:P167" si="49">SUM(E168:E178)</f>
        <v>0</v>
      </c>
      <c r="F167" s="211">
        <f t="shared" si="49"/>
        <v>0</v>
      </c>
      <c r="G167" s="211">
        <f t="shared" si="49"/>
        <v>0</v>
      </c>
      <c r="H167" s="211">
        <f t="shared" ref="H167:O167" si="50">SUM(H168:H178)</f>
        <v>0</v>
      </c>
      <c r="I167" s="211">
        <f t="shared" si="50"/>
        <v>0</v>
      </c>
      <c r="J167" s="211">
        <f t="shared" si="50"/>
        <v>0</v>
      </c>
      <c r="K167" s="211">
        <f t="shared" si="50"/>
        <v>0</v>
      </c>
      <c r="L167" s="211">
        <f t="shared" si="50"/>
        <v>0</v>
      </c>
      <c r="M167" s="211">
        <f t="shared" si="50"/>
        <v>0</v>
      </c>
      <c r="N167" s="211">
        <f t="shared" si="50"/>
        <v>0</v>
      </c>
      <c r="O167" s="211">
        <f t="shared" si="50"/>
        <v>0</v>
      </c>
      <c r="P167" s="112">
        <f t="shared" si="49"/>
        <v>0</v>
      </c>
      <c r="Q167" s="212" t="str">
        <f t="shared" si="38"/>
        <v/>
      </c>
    </row>
    <row r="168" spans="2:17" ht="15" customHeight="1" x14ac:dyDescent="0.25">
      <c r="B168" s="77" t="s">
        <v>368</v>
      </c>
      <c r="C168" s="48" t="s">
        <v>369</v>
      </c>
      <c r="D168" s="207"/>
      <c r="E168" s="207"/>
      <c r="F168" s="207"/>
      <c r="G168" s="207"/>
      <c r="H168" s="207"/>
      <c r="I168" s="207"/>
      <c r="J168" s="207"/>
      <c r="K168" s="207"/>
      <c r="L168" s="207"/>
      <c r="M168" s="207"/>
      <c r="N168" s="207"/>
      <c r="O168" s="207"/>
      <c r="P168" s="208">
        <f t="shared" ref="P168:P177" si="51">SUM(D168:O168)</f>
        <v>0</v>
      </c>
      <c r="Q168" s="214" t="str">
        <f t="shared" si="38"/>
        <v/>
      </c>
    </row>
    <row r="169" spans="2:17" ht="15" customHeight="1" x14ac:dyDescent="0.25">
      <c r="B169" s="77" t="s">
        <v>370</v>
      </c>
      <c r="C169" s="48" t="s">
        <v>371</v>
      </c>
      <c r="D169" s="207"/>
      <c r="E169" s="207"/>
      <c r="F169" s="207"/>
      <c r="G169" s="207"/>
      <c r="H169" s="207"/>
      <c r="I169" s="207"/>
      <c r="J169" s="207"/>
      <c r="K169" s="207"/>
      <c r="L169" s="207"/>
      <c r="M169" s="207"/>
      <c r="N169" s="207"/>
      <c r="O169" s="207"/>
      <c r="P169" s="208">
        <f t="shared" si="51"/>
        <v>0</v>
      </c>
      <c r="Q169" s="214" t="str">
        <f t="shared" si="38"/>
        <v/>
      </c>
    </row>
    <row r="170" spans="2:17" ht="15" customHeight="1" x14ac:dyDescent="0.25">
      <c r="B170" s="77" t="s">
        <v>372</v>
      </c>
      <c r="C170" s="48" t="s">
        <v>373</v>
      </c>
      <c r="D170" s="207"/>
      <c r="E170" s="207"/>
      <c r="F170" s="207"/>
      <c r="G170" s="207"/>
      <c r="H170" s="207"/>
      <c r="I170" s="207"/>
      <c r="J170" s="207"/>
      <c r="K170" s="207"/>
      <c r="L170" s="207"/>
      <c r="M170" s="207"/>
      <c r="N170" s="207"/>
      <c r="O170" s="207"/>
      <c r="P170" s="208">
        <f t="shared" si="51"/>
        <v>0</v>
      </c>
      <c r="Q170" s="214" t="str">
        <f t="shared" si="38"/>
        <v/>
      </c>
    </row>
    <row r="171" spans="2:17" ht="15" customHeight="1" x14ac:dyDescent="0.25">
      <c r="B171" s="77" t="s">
        <v>374</v>
      </c>
      <c r="C171" s="48" t="s">
        <v>375</v>
      </c>
      <c r="D171" s="207"/>
      <c r="E171" s="207"/>
      <c r="F171" s="207"/>
      <c r="G171" s="207"/>
      <c r="H171" s="207"/>
      <c r="I171" s="207"/>
      <c r="J171" s="207"/>
      <c r="K171" s="207"/>
      <c r="L171" s="207"/>
      <c r="M171" s="207"/>
      <c r="N171" s="207"/>
      <c r="O171" s="207"/>
      <c r="P171" s="208">
        <f t="shared" si="51"/>
        <v>0</v>
      </c>
      <c r="Q171" s="214" t="str">
        <f t="shared" si="38"/>
        <v/>
      </c>
    </row>
    <row r="172" spans="2:17" ht="15" customHeight="1" x14ac:dyDescent="0.25">
      <c r="B172" s="77" t="s">
        <v>376</v>
      </c>
      <c r="C172" s="48" t="s">
        <v>377</v>
      </c>
      <c r="D172" s="207"/>
      <c r="E172" s="207"/>
      <c r="F172" s="207"/>
      <c r="G172" s="207"/>
      <c r="H172" s="207"/>
      <c r="I172" s="207"/>
      <c r="J172" s="207"/>
      <c r="K172" s="207"/>
      <c r="L172" s="207"/>
      <c r="M172" s="207"/>
      <c r="N172" s="207"/>
      <c r="O172" s="207"/>
      <c r="P172" s="208">
        <f t="shared" si="51"/>
        <v>0</v>
      </c>
      <c r="Q172" s="214" t="str">
        <f t="shared" si="38"/>
        <v/>
      </c>
    </row>
    <row r="173" spans="2:17" ht="15" customHeight="1" x14ac:dyDescent="0.25">
      <c r="B173" s="77" t="s">
        <v>378</v>
      </c>
      <c r="C173" s="48" t="s">
        <v>246</v>
      </c>
      <c r="D173" s="207"/>
      <c r="E173" s="207"/>
      <c r="F173" s="207"/>
      <c r="G173" s="207"/>
      <c r="H173" s="207"/>
      <c r="I173" s="207"/>
      <c r="J173" s="207"/>
      <c r="K173" s="207"/>
      <c r="L173" s="207"/>
      <c r="M173" s="207"/>
      <c r="N173" s="207"/>
      <c r="O173" s="207"/>
      <c r="P173" s="208">
        <f t="shared" si="51"/>
        <v>0</v>
      </c>
      <c r="Q173" s="214" t="str">
        <f t="shared" si="38"/>
        <v/>
      </c>
    </row>
    <row r="174" spans="2:17" ht="15" customHeight="1" x14ac:dyDescent="0.25">
      <c r="B174" s="77" t="s">
        <v>379</v>
      </c>
      <c r="C174" s="209"/>
      <c r="D174" s="207"/>
      <c r="E174" s="207"/>
      <c r="F174" s="207"/>
      <c r="G174" s="207"/>
      <c r="H174" s="207"/>
      <c r="I174" s="207"/>
      <c r="J174" s="207"/>
      <c r="K174" s="207"/>
      <c r="L174" s="207"/>
      <c r="M174" s="207"/>
      <c r="N174" s="207"/>
      <c r="O174" s="207"/>
      <c r="P174" s="208">
        <f t="shared" si="51"/>
        <v>0</v>
      </c>
      <c r="Q174" s="214" t="str">
        <f t="shared" si="38"/>
        <v/>
      </c>
    </row>
    <row r="175" spans="2:17" ht="15" customHeight="1" x14ac:dyDescent="0.25">
      <c r="B175" s="77" t="s">
        <v>380</v>
      </c>
      <c r="C175" s="209"/>
      <c r="D175" s="207"/>
      <c r="E175" s="207"/>
      <c r="F175" s="207"/>
      <c r="G175" s="207"/>
      <c r="H175" s="207"/>
      <c r="I175" s="207"/>
      <c r="J175" s="207"/>
      <c r="K175" s="207"/>
      <c r="L175" s="207"/>
      <c r="M175" s="207"/>
      <c r="N175" s="207"/>
      <c r="O175" s="207"/>
      <c r="P175" s="208">
        <f t="shared" si="51"/>
        <v>0</v>
      </c>
      <c r="Q175" s="214" t="str">
        <f t="shared" si="38"/>
        <v/>
      </c>
    </row>
    <row r="176" spans="2:17" ht="15" customHeight="1" x14ac:dyDescent="0.25">
      <c r="B176" s="77" t="s">
        <v>381</v>
      </c>
      <c r="C176" s="48" t="s">
        <v>382</v>
      </c>
      <c r="D176" s="207"/>
      <c r="E176" s="207"/>
      <c r="F176" s="207"/>
      <c r="G176" s="207"/>
      <c r="H176" s="207"/>
      <c r="I176" s="207"/>
      <c r="J176" s="207"/>
      <c r="K176" s="207"/>
      <c r="L176" s="207"/>
      <c r="M176" s="207"/>
      <c r="N176" s="207"/>
      <c r="O176" s="207"/>
      <c r="P176" s="208">
        <f t="shared" si="51"/>
        <v>0</v>
      </c>
      <c r="Q176" s="214" t="str">
        <f t="shared" si="38"/>
        <v/>
      </c>
    </row>
    <row r="177" spans="2:17" ht="15" customHeight="1" x14ac:dyDescent="0.25">
      <c r="B177" s="210"/>
      <c r="C177" s="209"/>
      <c r="D177" s="207"/>
      <c r="E177" s="207"/>
      <c r="F177" s="207"/>
      <c r="G177" s="207"/>
      <c r="H177" s="207"/>
      <c r="I177" s="207"/>
      <c r="J177" s="207"/>
      <c r="K177" s="207"/>
      <c r="L177" s="207"/>
      <c r="M177" s="207"/>
      <c r="N177" s="207"/>
      <c r="O177" s="207"/>
      <c r="P177" s="208">
        <f t="shared" si="51"/>
        <v>0</v>
      </c>
      <c r="Q177" s="214" t="str">
        <f t="shared" si="38"/>
        <v/>
      </c>
    </row>
    <row r="178" spans="2:17" ht="15" customHeight="1" x14ac:dyDescent="0.25">
      <c r="B178" s="210"/>
      <c r="C178" s="209"/>
      <c r="D178" s="207"/>
      <c r="E178" s="207"/>
      <c r="F178" s="207"/>
      <c r="G178" s="207"/>
      <c r="H178" s="207"/>
      <c r="I178" s="207"/>
      <c r="J178" s="207"/>
      <c r="K178" s="207"/>
      <c r="L178" s="207"/>
      <c r="M178" s="207"/>
      <c r="N178" s="207"/>
      <c r="O178" s="207"/>
      <c r="P178" s="208"/>
      <c r="Q178" s="214" t="str">
        <f t="shared" si="38"/>
        <v/>
      </c>
    </row>
    <row r="179" spans="2:17" ht="15" customHeight="1" x14ac:dyDescent="0.25">
      <c r="B179" s="73" t="s">
        <v>383</v>
      </c>
      <c r="C179" s="53" t="s">
        <v>384</v>
      </c>
      <c r="D179" s="211">
        <f>SUM(D180:D190)</f>
        <v>0</v>
      </c>
      <c r="E179" s="211">
        <f t="shared" ref="E179:P179" si="52">SUM(E180:E190)</f>
        <v>0</v>
      </c>
      <c r="F179" s="211">
        <f t="shared" si="52"/>
        <v>0</v>
      </c>
      <c r="G179" s="211">
        <f t="shared" si="52"/>
        <v>0</v>
      </c>
      <c r="H179" s="211">
        <f t="shared" ref="H179:O179" si="53">SUM(H180:H190)</f>
        <v>0</v>
      </c>
      <c r="I179" s="211">
        <f t="shared" si="53"/>
        <v>0</v>
      </c>
      <c r="J179" s="211">
        <f t="shared" si="53"/>
        <v>0</v>
      </c>
      <c r="K179" s="211">
        <f t="shared" si="53"/>
        <v>0</v>
      </c>
      <c r="L179" s="211">
        <f t="shared" si="53"/>
        <v>0</v>
      </c>
      <c r="M179" s="211">
        <f t="shared" si="53"/>
        <v>0</v>
      </c>
      <c r="N179" s="211">
        <f t="shared" si="53"/>
        <v>0</v>
      </c>
      <c r="O179" s="211">
        <f t="shared" si="53"/>
        <v>0</v>
      </c>
      <c r="P179" s="112">
        <f t="shared" si="52"/>
        <v>0</v>
      </c>
      <c r="Q179" s="212" t="str">
        <f t="shared" si="38"/>
        <v/>
      </c>
    </row>
    <row r="180" spans="2:17" ht="15" customHeight="1" x14ac:dyDescent="0.25">
      <c r="B180" s="77" t="s">
        <v>385</v>
      </c>
      <c r="C180" s="48" t="s">
        <v>386</v>
      </c>
      <c r="D180" s="207"/>
      <c r="E180" s="207"/>
      <c r="F180" s="207"/>
      <c r="G180" s="207"/>
      <c r="H180" s="207"/>
      <c r="I180" s="207"/>
      <c r="J180" s="207"/>
      <c r="K180" s="207"/>
      <c r="L180" s="207"/>
      <c r="M180" s="207"/>
      <c r="N180" s="207"/>
      <c r="O180" s="207"/>
      <c r="P180" s="208">
        <f t="shared" ref="P180:P189" si="54">SUM(D180:O180)</f>
        <v>0</v>
      </c>
      <c r="Q180" s="214" t="str">
        <f t="shared" si="38"/>
        <v/>
      </c>
    </row>
    <row r="181" spans="2:17" ht="15" customHeight="1" x14ac:dyDescent="0.25">
      <c r="B181" s="77" t="s">
        <v>387</v>
      </c>
      <c r="C181" s="48" t="s">
        <v>388</v>
      </c>
      <c r="D181" s="207"/>
      <c r="E181" s="207"/>
      <c r="F181" s="207"/>
      <c r="G181" s="207"/>
      <c r="H181" s="207"/>
      <c r="I181" s="207"/>
      <c r="J181" s="207"/>
      <c r="K181" s="207"/>
      <c r="L181" s="207"/>
      <c r="M181" s="207"/>
      <c r="N181" s="207"/>
      <c r="O181" s="207"/>
      <c r="P181" s="208">
        <f t="shared" si="54"/>
        <v>0</v>
      </c>
      <c r="Q181" s="214" t="str">
        <f t="shared" si="38"/>
        <v/>
      </c>
    </row>
    <row r="182" spans="2:17" ht="15" customHeight="1" x14ac:dyDescent="0.25">
      <c r="B182" s="77" t="s">
        <v>389</v>
      </c>
      <c r="C182" s="48" t="s">
        <v>390</v>
      </c>
      <c r="D182" s="207"/>
      <c r="E182" s="207"/>
      <c r="F182" s="207"/>
      <c r="G182" s="207"/>
      <c r="H182" s="207"/>
      <c r="I182" s="207"/>
      <c r="J182" s="207"/>
      <c r="K182" s="207"/>
      <c r="L182" s="207"/>
      <c r="M182" s="207"/>
      <c r="N182" s="207"/>
      <c r="O182" s="207"/>
      <c r="P182" s="208">
        <f t="shared" si="54"/>
        <v>0</v>
      </c>
      <c r="Q182" s="214" t="str">
        <f t="shared" si="38"/>
        <v/>
      </c>
    </row>
    <row r="183" spans="2:17" ht="15" customHeight="1" x14ac:dyDescent="0.25">
      <c r="B183" s="77" t="s">
        <v>391</v>
      </c>
      <c r="C183" s="48" t="s">
        <v>392</v>
      </c>
      <c r="D183" s="207"/>
      <c r="E183" s="207"/>
      <c r="F183" s="207"/>
      <c r="G183" s="207"/>
      <c r="H183" s="207"/>
      <c r="I183" s="207"/>
      <c r="J183" s="207"/>
      <c r="K183" s="207"/>
      <c r="L183" s="207"/>
      <c r="M183" s="207"/>
      <c r="N183" s="207"/>
      <c r="O183" s="207"/>
      <c r="P183" s="208">
        <f t="shared" si="54"/>
        <v>0</v>
      </c>
      <c r="Q183" s="214" t="str">
        <f t="shared" si="38"/>
        <v/>
      </c>
    </row>
    <row r="184" spans="2:17" ht="15" customHeight="1" x14ac:dyDescent="0.25">
      <c r="B184" s="77" t="s">
        <v>393</v>
      </c>
      <c r="C184" s="209"/>
      <c r="D184" s="207"/>
      <c r="E184" s="207"/>
      <c r="F184" s="207"/>
      <c r="G184" s="207"/>
      <c r="H184" s="207"/>
      <c r="I184" s="207"/>
      <c r="J184" s="207"/>
      <c r="K184" s="207"/>
      <c r="L184" s="207"/>
      <c r="M184" s="207"/>
      <c r="N184" s="207"/>
      <c r="O184" s="207"/>
      <c r="P184" s="208">
        <f t="shared" si="54"/>
        <v>0</v>
      </c>
      <c r="Q184" s="214" t="str">
        <f t="shared" si="38"/>
        <v/>
      </c>
    </row>
    <row r="185" spans="2:17" ht="15" customHeight="1" x14ac:dyDescent="0.25">
      <c r="B185" s="77" t="s">
        <v>394</v>
      </c>
      <c r="C185" s="209"/>
      <c r="D185" s="207"/>
      <c r="E185" s="207"/>
      <c r="F185" s="207"/>
      <c r="G185" s="207"/>
      <c r="H185" s="207"/>
      <c r="I185" s="207"/>
      <c r="J185" s="207"/>
      <c r="K185" s="207"/>
      <c r="L185" s="207"/>
      <c r="M185" s="207"/>
      <c r="N185" s="207"/>
      <c r="O185" s="207"/>
      <c r="P185" s="208">
        <f t="shared" si="54"/>
        <v>0</v>
      </c>
      <c r="Q185" s="214" t="str">
        <f t="shared" si="38"/>
        <v/>
      </c>
    </row>
    <row r="186" spans="2:17" ht="15" customHeight="1" x14ac:dyDescent="0.25">
      <c r="B186" s="77" t="s">
        <v>395</v>
      </c>
      <c r="C186" s="209"/>
      <c r="D186" s="207"/>
      <c r="E186" s="207"/>
      <c r="F186" s="207"/>
      <c r="G186" s="207"/>
      <c r="H186" s="207"/>
      <c r="I186" s="207"/>
      <c r="J186" s="207"/>
      <c r="K186" s="207"/>
      <c r="L186" s="207"/>
      <c r="M186" s="207"/>
      <c r="N186" s="207"/>
      <c r="O186" s="207"/>
      <c r="P186" s="208">
        <f t="shared" si="54"/>
        <v>0</v>
      </c>
      <c r="Q186" s="214" t="str">
        <f t="shared" si="38"/>
        <v/>
      </c>
    </row>
    <row r="187" spans="2:17" ht="15" customHeight="1" x14ac:dyDescent="0.25">
      <c r="B187" s="77" t="s">
        <v>396</v>
      </c>
      <c r="C187" s="209"/>
      <c r="D187" s="207"/>
      <c r="E187" s="207"/>
      <c r="F187" s="207"/>
      <c r="G187" s="207"/>
      <c r="H187" s="207"/>
      <c r="I187" s="207"/>
      <c r="J187" s="207"/>
      <c r="K187" s="207"/>
      <c r="L187" s="207"/>
      <c r="M187" s="207"/>
      <c r="N187" s="207"/>
      <c r="O187" s="207"/>
      <c r="P187" s="208">
        <f t="shared" si="54"/>
        <v>0</v>
      </c>
      <c r="Q187" s="214" t="str">
        <f t="shared" si="38"/>
        <v/>
      </c>
    </row>
    <row r="188" spans="2:17" ht="15" customHeight="1" x14ac:dyDescent="0.25">
      <c r="B188" s="77" t="s">
        <v>397</v>
      </c>
      <c r="C188" s="48" t="s">
        <v>398</v>
      </c>
      <c r="D188" s="207"/>
      <c r="E188" s="207"/>
      <c r="F188" s="207"/>
      <c r="G188" s="207"/>
      <c r="H188" s="207"/>
      <c r="I188" s="207"/>
      <c r="J188" s="207"/>
      <c r="K188" s="207"/>
      <c r="L188" s="207"/>
      <c r="M188" s="207"/>
      <c r="N188" s="207"/>
      <c r="O188" s="207"/>
      <c r="P188" s="208">
        <f t="shared" si="54"/>
        <v>0</v>
      </c>
      <c r="Q188" s="214" t="str">
        <f t="shared" si="38"/>
        <v/>
      </c>
    </row>
    <row r="189" spans="2:17" ht="15" customHeight="1" x14ac:dyDescent="0.25">
      <c r="B189" s="210"/>
      <c r="C189" s="209"/>
      <c r="D189" s="207"/>
      <c r="E189" s="207"/>
      <c r="F189" s="207"/>
      <c r="G189" s="207"/>
      <c r="H189" s="207"/>
      <c r="I189" s="207"/>
      <c r="J189" s="207"/>
      <c r="K189" s="207"/>
      <c r="L189" s="207"/>
      <c r="M189" s="207"/>
      <c r="N189" s="207"/>
      <c r="O189" s="207"/>
      <c r="P189" s="208">
        <f t="shared" si="54"/>
        <v>0</v>
      </c>
      <c r="Q189" s="214" t="str">
        <f t="shared" si="38"/>
        <v/>
      </c>
    </row>
    <row r="190" spans="2:17" ht="15" customHeight="1" x14ac:dyDescent="0.25">
      <c r="B190" s="210"/>
      <c r="C190" s="209"/>
      <c r="D190" s="207"/>
      <c r="E190" s="207"/>
      <c r="F190" s="207"/>
      <c r="G190" s="207"/>
      <c r="H190" s="207"/>
      <c r="I190" s="207"/>
      <c r="J190" s="207"/>
      <c r="K190" s="207"/>
      <c r="L190" s="207"/>
      <c r="M190" s="207"/>
      <c r="N190" s="207"/>
      <c r="O190" s="207"/>
      <c r="P190" s="208"/>
      <c r="Q190" s="214" t="str">
        <f t="shared" si="38"/>
        <v/>
      </c>
    </row>
    <row r="191" spans="2:17" ht="15" customHeight="1" x14ac:dyDescent="0.25">
      <c r="B191" s="73" t="s">
        <v>399</v>
      </c>
      <c r="C191" s="53" t="s">
        <v>400</v>
      </c>
      <c r="D191" s="211">
        <f>SUM(D192:D202)</f>
        <v>0</v>
      </c>
      <c r="E191" s="211">
        <f t="shared" ref="E191:P191" si="55">SUM(E192:E202)</f>
        <v>8.69</v>
      </c>
      <c r="F191" s="211">
        <f t="shared" si="55"/>
        <v>200</v>
      </c>
      <c r="G191" s="211">
        <f t="shared" si="55"/>
        <v>80.05</v>
      </c>
      <c r="H191" s="211">
        <f t="shared" ref="H191:O191" si="56">SUM(H192:H202)</f>
        <v>19.55</v>
      </c>
      <c r="I191" s="211">
        <f t="shared" si="56"/>
        <v>364.87</v>
      </c>
      <c r="J191" s="211">
        <f t="shared" si="56"/>
        <v>0</v>
      </c>
      <c r="K191" s="211">
        <f t="shared" si="56"/>
        <v>0</v>
      </c>
      <c r="L191" s="211">
        <f t="shared" si="56"/>
        <v>0</v>
      </c>
      <c r="M191" s="211">
        <f t="shared" si="56"/>
        <v>0</v>
      </c>
      <c r="N191" s="211">
        <f t="shared" si="56"/>
        <v>0</v>
      </c>
      <c r="O191" s="211">
        <f t="shared" si="56"/>
        <v>0</v>
      </c>
      <c r="P191" s="112">
        <f t="shared" si="55"/>
        <v>673.16000000000008</v>
      </c>
      <c r="Q191" s="212">
        <f t="shared" si="38"/>
        <v>7.4092442223610266</v>
      </c>
    </row>
    <row r="192" spans="2:17" ht="15" customHeight="1" x14ac:dyDescent="0.25">
      <c r="B192" s="77" t="s">
        <v>401</v>
      </c>
      <c r="C192" s="48" t="s">
        <v>402</v>
      </c>
      <c r="D192" s="207"/>
      <c r="E192" s="207"/>
      <c r="F192" s="207"/>
      <c r="G192" s="207"/>
      <c r="H192" s="207"/>
      <c r="I192" s="207">
        <v>364.87</v>
      </c>
      <c r="J192" s="207"/>
      <c r="K192" s="207"/>
      <c r="L192" s="207"/>
      <c r="M192" s="207"/>
      <c r="N192" s="207"/>
      <c r="O192" s="207"/>
      <c r="P192" s="208">
        <f t="shared" ref="P192:P201" si="57">SUM(D192:O192)</f>
        <v>364.87</v>
      </c>
      <c r="Q192" s="214" t="str">
        <f t="shared" si="38"/>
        <v/>
      </c>
    </row>
    <row r="193" spans="2:17" ht="15" customHeight="1" x14ac:dyDescent="0.25">
      <c r="B193" s="77" t="s">
        <v>403</v>
      </c>
      <c r="C193" s="48" t="s">
        <v>404</v>
      </c>
      <c r="D193" s="207"/>
      <c r="E193" s="207"/>
      <c r="F193" s="207"/>
      <c r="G193" s="207"/>
      <c r="H193" s="207"/>
      <c r="I193" s="207"/>
      <c r="J193" s="207"/>
      <c r="K193" s="207"/>
      <c r="L193" s="207"/>
      <c r="M193" s="207"/>
      <c r="N193" s="207"/>
      <c r="O193" s="207"/>
      <c r="P193" s="208">
        <f t="shared" si="57"/>
        <v>0</v>
      </c>
      <c r="Q193" s="214" t="str">
        <f t="shared" si="38"/>
        <v/>
      </c>
    </row>
    <row r="194" spans="2:17" ht="15" customHeight="1" x14ac:dyDescent="0.25">
      <c r="B194" s="77" t="s">
        <v>405</v>
      </c>
      <c r="C194" s="48" t="s">
        <v>406</v>
      </c>
      <c r="D194" s="207"/>
      <c r="E194" s="207"/>
      <c r="F194" s="207"/>
      <c r="G194" s="207"/>
      <c r="H194" s="207"/>
      <c r="I194" s="207"/>
      <c r="J194" s="207"/>
      <c r="K194" s="207"/>
      <c r="L194" s="207"/>
      <c r="M194" s="207"/>
      <c r="N194" s="207"/>
      <c r="O194" s="207"/>
      <c r="P194" s="208">
        <f t="shared" si="57"/>
        <v>0</v>
      </c>
      <c r="Q194" s="214" t="str">
        <f t="shared" si="38"/>
        <v/>
      </c>
    </row>
    <row r="195" spans="2:17" ht="15" customHeight="1" x14ac:dyDescent="0.25">
      <c r="B195" s="77" t="s">
        <v>407</v>
      </c>
      <c r="C195" s="48" t="s">
        <v>408</v>
      </c>
      <c r="D195" s="207"/>
      <c r="E195" s="207"/>
      <c r="F195" s="207"/>
      <c r="G195" s="207"/>
      <c r="H195" s="207"/>
      <c r="I195" s="207"/>
      <c r="J195" s="207"/>
      <c r="K195" s="207"/>
      <c r="L195" s="207"/>
      <c r="M195" s="207"/>
      <c r="N195" s="207"/>
      <c r="O195" s="207"/>
      <c r="P195" s="208">
        <f t="shared" si="57"/>
        <v>0</v>
      </c>
      <c r="Q195" s="214" t="str">
        <f t="shared" ref="Q195:Q211" si="58">IFERROR(IF(AND(G195&lt;0,P195&lt;=0),-(P195-G195)/G195,IF(AND(G195&lt;0,P195&gt;0),-(P195-G195)/G195,(P195-G195)/G195)),"")</f>
        <v/>
      </c>
    </row>
    <row r="196" spans="2:17" ht="15" customHeight="1" x14ac:dyDescent="0.25">
      <c r="B196" s="77" t="s">
        <v>409</v>
      </c>
      <c r="C196" s="48" t="s">
        <v>410</v>
      </c>
      <c r="D196" s="207"/>
      <c r="E196" s="207"/>
      <c r="F196" s="207"/>
      <c r="G196" s="207"/>
      <c r="H196" s="207"/>
      <c r="I196" s="207"/>
      <c r="J196" s="207"/>
      <c r="K196" s="207"/>
      <c r="L196" s="207"/>
      <c r="M196" s="207"/>
      <c r="N196" s="207"/>
      <c r="O196" s="207"/>
      <c r="P196" s="208">
        <f t="shared" si="57"/>
        <v>0</v>
      </c>
      <c r="Q196" s="214" t="str">
        <f t="shared" si="58"/>
        <v/>
      </c>
    </row>
    <row r="197" spans="2:17" ht="15" customHeight="1" x14ac:dyDescent="0.25">
      <c r="B197" s="77" t="s">
        <v>411</v>
      </c>
      <c r="C197" s="209"/>
      <c r="D197" s="207"/>
      <c r="E197" s="207"/>
      <c r="F197" s="207"/>
      <c r="G197" s="207"/>
      <c r="H197" s="207"/>
      <c r="I197" s="207"/>
      <c r="J197" s="207"/>
      <c r="K197" s="207"/>
      <c r="L197" s="207"/>
      <c r="M197" s="207"/>
      <c r="N197" s="207"/>
      <c r="O197" s="207"/>
      <c r="P197" s="208">
        <f t="shared" si="57"/>
        <v>0</v>
      </c>
      <c r="Q197" s="214" t="str">
        <f t="shared" si="58"/>
        <v/>
      </c>
    </row>
    <row r="198" spans="2:17" ht="15" customHeight="1" x14ac:dyDescent="0.25">
      <c r="B198" s="77" t="s">
        <v>412</v>
      </c>
      <c r="C198" s="209"/>
      <c r="D198" s="207"/>
      <c r="E198" s="207"/>
      <c r="F198" s="207"/>
      <c r="G198" s="207"/>
      <c r="H198" s="207"/>
      <c r="I198" s="207"/>
      <c r="J198" s="207"/>
      <c r="K198" s="207"/>
      <c r="L198" s="207"/>
      <c r="M198" s="207"/>
      <c r="N198" s="207"/>
      <c r="O198" s="207"/>
      <c r="P198" s="208">
        <f t="shared" si="57"/>
        <v>0</v>
      </c>
      <c r="Q198" s="214" t="str">
        <f t="shared" si="58"/>
        <v/>
      </c>
    </row>
    <row r="199" spans="2:17" ht="15" customHeight="1" x14ac:dyDescent="0.25">
      <c r="B199" s="77" t="s">
        <v>413</v>
      </c>
      <c r="C199" s="209"/>
      <c r="D199" s="207"/>
      <c r="E199" s="207"/>
      <c r="F199" s="207"/>
      <c r="G199" s="207"/>
      <c r="H199" s="207"/>
      <c r="I199" s="207"/>
      <c r="J199" s="207"/>
      <c r="K199" s="207"/>
      <c r="L199" s="207"/>
      <c r="M199" s="207"/>
      <c r="N199" s="207"/>
      <c r="O199" s="207"/>
      <c r="P199" s="208">
        <f t="shared" si="57"/>
        <v>0</v>
      </c>
      <c r="Q199" s="214" t="str">
        <f t="shared" si="58"/>
        <v/>
      </c>
    </row>
    <row r="200" spans="2:17" ht="15" customHeight="1" x14ac:dyDescent="0.25">
      <c r="B200" s="77" t="s">
        <v>414</v>
      </c>
      <c r="C200" s="48" t="s">
        <v>415</v>
      </c>
      <c r="D200" s="207"/>
      <c r="E200" s="207">
        <v>8.69</v>
      </c>
      <c r="F200" s="207">
        <v>200</v>
      </c>
      <c r="G200" s="207">
        <v>80.05</v>
      </c>
      <c r="H200" s="207">
        <v>19.55</v>
      </c>
      <c r="I200" s="207"/>
      <c r="J200" s="207"/>
      <c r="K200" s="207"/>
      <c r="L200" s="207"/>
      <c r="M200" s="207"/>
      <c r="N200" s="207"/>
      <c r="O200" s="207"/>
      <c r="P200" s="208">
        <f t="shared" si="57"/>
        <v>308.29000000000002</v>
      </c>
      <c r="Q200" s="214">
        <f t="shared" si="58"/>
        <v>2.851217988757027</v>
      </c>
    </row>
    <row r="201" spans="2:17" ht="15" customHeight="1" x14ac:dyDescent="0.25">
      <c r="B201" s="210"/>
      <c r="C201" s="209"/>
      <c r="D201" s="207"/>
      <c r="E201" s="207"/>
      <c r="F201" s="207"/>
      <c r="G201" s="207"/>
      <c r="H201" s="207"/>
      <c r="I201" s="207"/>
      <c r="J201" s="207"/>
      <c r="K201" s="207"/>
      <c r="L201" s="207"/>
      <c r="M201" s="207"/>
      <c r="N201" s="207"/>
      <c r="O201" s="207"/>
      <c r="P201" s="208">
        <f t="shared" si="57"/>
        <v>0</v>
      </c>
      <c r="Q201" s="214" t="str">
        <f t="shared" si="58"/>
        <v/>
      </c>
    </row>
    <row r="202" spans="2:17" ht="15" customHeight="1" x14ac:dyDescent="0.25">
      <c r="B202" s="210"/>
      <c r="C202" s="209"/>
      <c r="D202" s="207"/>
      <c r="E202" s="207"/>
      <c r="F202" s="207"/>
      <c r="G202" s="207"/>
      <c r="H202" s="207"/>
      <c r="I202" s="207"/>
      <c r="J202" s="207"/>
      <c r="K202" s="207"/>
      <c r="L202" s="207"/>
      <c r="M202" s="207"/>
      <c r="N202" s="207"/>
      <c r="O202" s="207"/>
      <c r="P202" s="208"/>
      <c r="Q202" s="214" t="str">
        <f t="shared" si="58"/>
        <v/>
      </c>
    </row>
    <row r="203" spans="2:17" ht="15" customHeight="1" x14ac:dyDescent="0.25">
      <c r="B203" s="73" t="s">
        <v>416</v>
      </c>
      <c r="C203" s="53" t="s">
        <v>417</v>
      </c>
      <c r="D203" s="211">
        <f>SUM(D204:D210)</f>
        <v>0</v>
      </c>
      <c r="E203" s="211">
        <f t="shared" ref="E203:P203" si="59">SUM(E204:E210)</f>
        <v>0</v>
      </c>
      <c r="F203" s="211">
        <f t="shared" si="59"/>
        <v>0</v>
      </c>
      <c r="G203" s="211">
        <f t="shared" si="59"/>
        <v>0</v>
      </c>
      <c r="H203" s="211">
        <f t="shared" ref="H203:O203" si="60">SUM(H204:H210)</f>
        <v>0</v>
      </c>
      <c r="I203" s="211">
        <f t="shared" si="60"/>
        <v>0</v>
      </c>
      <c r="J203" s="211">
        <f t="shared" si="60"/>
        <v>0</v>
      </c>
      <c r="K203" s="211">
        <f t="shared" si="60"/>
        <v>0</v>
      </c>
      <c r="L203" s="211">
        <f t="shared" si="60"/>
        <v>0</v>
      </c>
      <c r="M203" s="211">
        <f t="shared" si="60"/>
        <v>0</v>
      </c>
      <c r="N203" s="211">
        <f t="shared" si="60"/>
        <v>0</v>
      </c>
      <c r="O203" s="211">
        <f t="shared" si="60"/>
        <v>0</v>
      </c>
      <c r="P203" s="112">
        <f t="shared" si="59"/>
        <v>0</v>
      </c>
      <c r="Q203" s="212" t="str">
        <f t="shared" si="58"/>
        <v/>
      </c>
    </row>
    <row r="204" spans="2:17" ht="15" customHeight="1" x14ac:dyDescent="0.25">
      <c r="B204" s="77" t="s">
        <v>418</v>
      </c>
      <c r="C204" s="48" t="s">
        <v>292</v>
      </c>
      <c r="D204" s="207"/>
      <c r="E204" s="207"/>
      <c r="F204" s="207"/>
      <c r="G204" s="207"/>
      <c r="H204" s="207"/>
      <c r="I204" s="207"/>
      <c r="J204" s="207"/>
      <c r="K204" s="207"/>
      <c r="L204" s="207"/>
      <c r="M204" s="207"/>
      <c r="N204" s="207"/>
      <c r="O204" s="207"/>
      <c r="P204" s="208">
        <f t="shared" ref="P204:P209" si="61">SUM(D204:O204)</f>
        <v>0</v>
      </c>
      <c r="Q204" s="214" t="str">
        <f t="shared" si="58"/>
        <v/>
      </c>
    </row>
    <row r="205" spans="2:17" ht="15" customHeight="1" x14ac:dyDescent="0.25">
      <c r="B205" s="77" t="s">
        <v>419</v>
      </c>
      <c r="C205" s="48" t="s">
        <v>420</v>
      </c>
      <c r="D205" s="207"/>
      <c r="E205" s="207"/>
      <c r="F205" s="207"/>
      <c r="G205" s="207"/>
      <c r="H205" s="207"/>
      <c r="I205" s="207"/>
      <c r="J205" s="207"/>
      <c r="K205" s="207"/>
      <c r="L205" s="207"/>
      <c r="M205" s="207"/>
      <c r="N205" s="207"/>
      <c r="O205" s="207"/>
      <c r="P205" s="208">
        <f t="shared" si="61"/>
        <v>0</v>
      </c>
      <c r="Q205" s="214" t="str">
        <f t="shared" si="58"/>
        <v/>
      </c>
    </row>
    <row r="206" spans="2:17" ht="15" customHeight="1" x14ac:dyDescent="0.25">
      <c r="B206" s="77" t="s">
        <v>421</v>
      </c>
      <c r="C206" s="48" t="s">
        <v>110</v>
      </c>
      <c r="D206" s="207"/>
      <c r="E206" s="207"/>
      <c r="F206" s="207"/>
      <c r="G206" s="207"/>
      <c r="H206" s="207"/>
      <c r="I206" s="207"/>
      <c r="J206" s="207"/>
      <c r="K206" s="207"/>
      <c r="L206" s="207"/>
      <c r="M206" s="207"/>
      <c r="N206" s="207"/>
      <c r="O206" s="207"/>
      <c r="P206" s="208">
        <f t="shared" si="61"/>
        <v>0</v>
      </c>
      <c r="Q206" s="214" t="str">
        <f t="shared" si="58"/>
        <v/>
      </c>
    </row>
    <row r="207" spans="2:17" ht="15" customHeight="1" x14ac:dyDescent="0.25">
      <c r="B207" s="210"/>
      <c r="C207" s="209"/>
      <c r="D207" s="207"/>
      <c r="E207" s="207"/>
      <c r="F207" s="207"/>
      <c r="G207" s="207"/>
      <c r="H207" s="207"/>
      <c r="I207" s="207"/>
      <c r="J207" s="207"/>
      <c r="K207" s="207"/>
      <c r="L207" s="207"/>
      <c r="M207" s="207"/>
      <c r="N207" s="207"/>
      <c r="O207" s="207"/>
      <c r="P207" s="208">
        <f t="shared" si="61"/>
        <v>0</v>
      </c>
      <c r="Q207" s="214" t="str">
        <f t="shared" si="58"/>
        <v/>
      </c>
    </row>
    <row r="208" spans="2:17" ht="15" customHeight="1" x14ac:dyDescent="0.25">
      <c r="B208" s="210"/>
      <c r="C208" s="209"/>
      <c r="D208" s="207"/>
      <c r="E208" s="207"/>
      <c r="F208" s="207"/>
      <c r="G208" s="207"/>
      <c r="H208" s="207"/>
      <c r="I208" s="207"/>
      <c r="J208" s="207"/>
      <c r="K208" s="207"/>
      <c r="L208" s="207"/>
      <c r="M208" s="207"/>
      <c r="N208" s="207"/>
      <c r="O208" s="207"/>
      <c r="P208" s="208">
        <f t="shared" si="61"/>
        <v>0</v>
      </c>
      <c r="Q208" s="214" t="str">
        <f t="shared" si="58"/>
        <v/>
      </c>
    </row>
    <row r="209" spans="1:23" ht="15" customHeight="1" x14ac:dyDescent="0.25">
      <c r="B209" s="210"/>
      <c r="C209" s="209"/>
      <c r="D209" s="207"/>
      <c r="E209" s="207"/>
      <c r="F209" s="207"/>
      <c r="G209" s="207"/>
      <c r="H209" s="207"/>
      <c r="I209" s="207"/>
      <c r="J209" s="207"/>
      <c r="K209" s="207"/>
      <c r="L209" s="207"/>
      <c r="M209" s="207"/>
      <c r="N209" s="207"/>
      <c r="O209" s="207"/>
      <c r="P209" s="208">
        <f t="shared" si="61"/>
        <v>0</v>
      </c>
      <c r="Q209" s="214" t="str">
        <f t="shared" si="58"/>
        <v/>
      </c>
    </row>
    <row r="210" spans="1:23" ht="15" customHeight="1" x14ac:dyDescent="0.25">
      <c r="B210" s="210"/>
      <c r="C210" s="209"/>
      <c r="D210" s="207"/>
      <c r="E210" s="207"/>
      <c r="F210" s="207"/>
      <c r="G210" s="207"/>
      <c r="H210" s="207"/>
      <c r="I210" s="207"/>
      <c r="J210" s="207"/>
      <c r="K210" s="207"/>
      <c r="L210" s="207"/>
      <c r="M210" s="207"/>
      <c r="N210" s="207"/>
      <c r="O210" s="207"/>
      <c r="P210" s="208"/>
      <c r="Q210" s="214" t="str">
        <f t="shared" si="58"/>
        <v/>
      </c>
    </row>
    <row r="211" spans="1:23" ht="21" customHeight="1" x14ac:dyDescent="0.25">
      <c r="B211" s="449" t="s">
        <v>425</v>
      </c>
      <c r="C211" s="450"/>
      <c r="D211" s="118">
        <f>D131+D143+D153+D161+D167+D179+D191+D203</f>
        <v>0</v>
      </c>
      <c r="E211" s="119">
        <f t="shared" ref="E211:P211" si="62">E131+E143+E153+E161+E167+E179+E191+E203</f>
        <v>8.69</v>
      </c>
      <c r="F211" s="119">
        <f t="shared" si="62"/>
        <v>200</v>
      </c>
      <c r="G211" s="119">
        <f t="shared" si="62"/>
        <v>80.05</v>
      </c>
      <c r="H211" s="119">
        <f t="shared" ref="H211:O211" si="63">H131+H143+H153+H161+H167+H179+H191+H203</f>
        <v>19.55</v>
      </c>
      <c r="I211" s="119">
        <f t="shared" si="63"/>
        <v>364.87</v>
      </c>
      <c r="J211" s="119">
        <f t="shared" si="63"/>
        <v>0</v>
      </c>
      <c r="K211" s="119">
        <f t="shared" si="63"/>
        <v>0</v>
      </c>
      <c r="L211" s="119">
        <f t="shared" si="63"/>
        <v>0</v>
      </c>
      <c r="M211" s="119">
        <f t="shared" si="63"/>
        <v>0</v>
      </c>
      <c r="N211" s="119">
        <f t="shared" si="63"/>
        <v>0</v>
      </c>
      <c r="O211" s="119">
        <f t="shared" si="63"/>
        <v>0</v>
      </c>
      <c r="P211" s="119">
        <f t="shared" si="62"/>
        <v>673.16000000000008</v>
      </c>
      <c r="Q211" s="120">
        <f t="shared" si="58"/>
        <v>7.4092442223610266</v>
      </c>
    </row>
    <row r="212" spans="1:23" s="57" customFormat="1" ht="15" customHeight="1" x14ac:dyDescent="0.25">
      <c r="A212" s="3"/>
      <c r="B212" s="4"/>
      <c r="C212" s="4"/>
      <c r="D212" s="3"/>
      <c r="E212" s="3"/>
      <c r="F212" s="3"/>
      <c r="G212" s="3"/>
      <c r="H212" s="3"/>
      <c r="I212" s="3"/>
      <c r="J212" s="3"/>
      <c r="K212" s="3"/>
      <c r="L212" s="3"/>
      <c r="M212" s="3"/>
      <c r="N212" s="3"/>
      <c r="O212" s="3"/>
      <c r="P212" s="3"/>
      <c r="R212" s="3"/>
      <c r="S212" s="3"/>
      <c r="T212" s="3"/>
      <c r="U212" s="3"/>
      <c r="V212" s="3"/>
      <c r="W212" s="3"/>
    </row>
    <row r="213" spans="1:23" s="57" customFormat="1" ht="15" customHeight="1" x14ac:dyDescent="0.25">
      <c r="A213" s="3"/>
      <c r="B213" s="4"/>
      <c r="C213" s="4"/>
      <c r="D213" s="3"/>
      <c r="E213" s="3"/>
      <c r="F213" s="3"/>
      <c r="G213" s="3"/>
      <c r="H213" s="3"/>
      <c r="I213" s="3"/>
      <c r="J213" s="3"/>
      <c r="K213" s="3"/>
      <c r="L213" s="3"/>
      <c r="M213" s="3"/>
      <c r="N213" s="3"/>
      <c r="O213" s="3"/>
      <c r="P213" s="122" t="s">
        <v>432</v>
      </c>
      <c r="Q213" s="121" t="str">
        <f>IF(COVER!$K$6&lt;&gt;"",CONCATENATE("milhares ",COVER!$K$6),"")</f>
        <v>milhares MZN</v>
      </c>
      <c r="R213" s="3"/>
      <c r="S213" s="3"/>
      <c r="T213" s="3"/>
      <c r="U213" s="3"/>
      <c r="V213" s="3"/>
      <c r="W213" s="3"/>
    </row>
    <row r="214" spans="1:23" s="31" customFormat="1" ht="31.5" customHeight="1" x14ac:dyDescent="0.25">
      <c r="B214" s="67"/>
      <c r="C214" s="102"/>
      <c r="D214" s="68" t="str">
        <f>D127</f>
        <v>JAN</v>
      </c>
      <c r="E214" s="68" t="str">
        <f t="shared" ref="E214:O214" si="64">E127</f>
        <v>FEV</v>
      </c>
      <c r="F214" s="68" t="str">
        <f t="shared" si="64"/>
        <v>MARCH</v>
      </c>
      <c r="G214" s="68" t="str">
        <f t="shared" si="64"/>
        <v>APRIL</v>
      </c>
      <c r="H214" s="68" t="str">
        <f t="shared" si="64"/>
        <v>MAY</v>
      </c>
      <c r="I214" s="68" t="str">
        <f t="shared" si="64"/>
        <v>JUNE</v>
      </c>
      <c r="J214" s="68" t="str">
        <f t="shared" si="64"/>
        <v>JULY</v>
      </c>
      <c r="K214" s="68" t="str">
        <f t="shared" si="64"/>
        <v>AUGUST</v>
      </c>
      <c r="L214" s="68" t="str">
        <f t="shared" si="64"/>
        <v>SEPTEMBER</v>
      </c>
      <c r="M214" s="68" t="str">
        <f t="shared" si="64"/>
        <v>OCTOBER</v>
      </c>
      <c r="N214" s="68" t="str">
        <f t="shared" si="64"/>
        <v>NOVEMBER</v>
      </c>
      <c r="O214" s="68" t="str">
        <f t="shared" si="64"/>
        <v>DEZEMBER</v>
      </c>
      <c r="P214" s="69">
        <f>$F$3</f>
        <v>2022</v>
      </c>
      <c r="Q214" s="70" t="str">
        <f>IF(AND(G214&lt;&gt;"",P214&lt;&gt;""),CONCATENATE("Variação % (",P214,"/",G214,")"),"")</f>
        <v>Variação % (2022/APRIL)</v>
      </c>
    </row>
    <row r="215" spans="1:23" s="31" customFormat="1" ht="15" customHeight="1" x14ac:dyDescent="0.25">
      <c r="B215" s="123"/>
      <c r="C215" s="32"/>
      <c r="D215" s="32"/>
      <c r="E215" s="32"/>
      <c r="F215" s="32"/>
      <c r="G215" s="32"/>
      <c r="H215" s="32"/>
      <c r="I215" s="32"/>
      <c r="J215" s="32"/>
      <c r="K215" s="32"/>
      <c r="L215" s="32"/>
      <c r="M215" s="32"/>
      <c r="N215" s="32"/>
      <c r="O215" s="32"/>
    </row>
    <row r="216" spans="1:23" ht="15" customHeight="1" x14ac:dyDescent="0.25">
      <c r="B216" s="441" t="s">
        <v>426</v>
      </c>
      <c r="C216" s="442"/>
      <c r="D216" s="211">
        <f>D211</f>
        <v>0</v>
      </c>
      <c r="E216" s="211">
        <f t="shared" ref="E216:P216" si="65">E211</f>
        <v>8.69</v>
      </c>
      <c r="F216" s="211">
        <f t="shared" si="65"/>
        <v>200</v>
      </c>
      <c r="G216" s="211">
        <f t="shared" si="65"/>
        <v>80.05</v>
      </c>
      <c r="H216" s="211">
        <f t="shared" ref="H216:O216" si="66">H211</f>
        <v>19.55</v>
      </c>
      <c r="I216" s="211">
        <f t="shared" si="66"/>
        <v>364.87</v>
      </c>
      <c r="J216" s="211">
        <f t="shared" si="66"/>
        <v>0</v>
      </c>
      <c r="K216" s="211">
        <f t="shared" si="66"/>
        <v>0</v>
      </c>
      <c r="L216" s="211">
        <f t="shared" si="66"/>
        <v>0</v>
      </c>
      <c r="M216" s="211">
        <f t="shared" si="66"/>
        <v>0</v>
      </c>
      <c r="N216" s="211">
        <f t="shared" si="66"/>
        <v>0</v>
      </c>
      <c r="O216" s="211">
        <f t="shared" si="66"/>
        <v>0</v>
      </c>
      <c r="P216" s="112">
        <f t="shared" si="65"/>
        <v>673.16000000000008</v>
      </c>
      <c r="Q216" s="212">
        <f t="shared" ref="Q216:Q220" si="67">IFERROR(IF(AND(G216&lt;0,P216&lt;=0),-(P216-G216)/G216,IF(AND(G216&lt;0,P216&gt;0),-(P216-G216)/G216,(P216-G216)/G216)),"")</f>
        <v>7.4092442223610266</v>
      </c>
    </row>
    <row r="217" spans="1:23" ht="15" customHeight="1" x14ac:dyDescent="0.25">
      <c r="B217" s="441" t="s">
        <v>427</v>
      </c>
      <c r="C217" s="442"/>
      <c r="D217" s="211">
        <f>D124</f>
        <v>447970.75999999995</v>
      </c>
      <c r="E217" s="211">
        <f t="shared" ref="E217:P217" si="68">E124</f>
        <v>150073.59999999998</v>
      </c>
      <c r="F217" s="211">
        <f t="shared" si="68"/>
        <v>398968.79</v>
      </c>
      <c r="G217" s="211">
        <f t="shared" si="68"/>
        <v>407287.2</v>
      </c>
      <c r="H217" s="211">
        <f t="shared" ref="H217:O217" si="69">H124</f>
        <v>0</v>
      </c>
      <c r="I217" s="211">
        <f t="shared" si="69"/>
        <v>0</v>
      </c>
      <c r="J217" s="211">
        <f t="shared" si="69"/>
        <v>0</v>
      </c>
      <c r="K217" s="211">
        <f t="shared" si="69"/>
        <v>0</v>
      </c>
      <c r="L217" s="211">
        <f t="shared" si="69"/>
        <v>0</v>
      </c>
      <c r="M217" s="211">
        <f t="shared" si="69"/>
        <v>0</v>
      </c>
      <c r="N217" s="211">
        <f t="shared" si="69"/>
        <v>0</v>
      </c>
      <c r="O217" s="211">
        <f t="shared" si="69"/>
        <v>0</v>
      </c>
      <c r="P217" s="112">
        <f t="shared" si="68"/>
        <v>2979258.73</v>
      </c>
      <c r="Q217" s="212">
        <f t="shared" si="67"/>
        <v>6.3148842634877793</v>
      </c>
    </row>
    <row r="218" spans="1:23" ht="15" customHeight="1" x14ac:dyDescent="0.25">
      <c r="B218" s="441" t="s">
        <v>699</v>
      </c>
      <c r="C218" s="442"/>
      <c r="D218" s="211">
        <f>D216-D217</f>
        <v>-447970.75999999995</v>
      </c>
      <c r="E218" s="211">
        <f t="shared" ref="E218:P218" si="70">E216-E217</f>
        <v>-150064.90999999997</v>
      </c>
      <c r="F218" s="211">
        <f t="shared" si="70"/>
        <v>-398768.79</v>
      </c>
      <c r="G218" s="211">
        <f t="shared" si="70"/>
        <v>-407207.15</v>
      </c>
      <c r="H218" s="211">
        <f t="shared" ref="H218:O218" si="71">H216-H217</f>
        <v>19.55</v>
      </c>
      <c r="I218" s="211">
        <f t="shared" si="71"/>
        <v>364.87</v>
      </c>
      <c r="J218" s="211">
        <f t="shared" si="71"/>
        <v>0</v>
      </c>
      <c r="K218" s="211">
        <f t="shared" si="71"/>
        <v>0</v>
      </c>
      <c r="L218" s="211">
        <f t="shared" si="71"/>
        <v>0</v>
      </c>
      <c r="M218" s="211">
        <f t="shared" si="71"/>
        <v>0</v>
      </c>
      <c r="N218" s="211">
        <f t="shared" si="71"/>
        <v>0</v>
      </c>
      <c r="O218" s="211">
        <f t="shared" si="71"/>
        <v>0</v>
      </c>
      <c r="P218" s="112">
        <f t="shared" si="70"/>
        <v>-2978585.57</v>
      </c>
      <c r="Q218" s="212">
        <f t="shared" si="67"/>
        <v>-6.3146691309324989</v>
      </c>
    </row>
    <row r="219" spans="1:23" ht="15" customHeight="1" x14ac:dyDescent="0.25">
      <c r="B219" s="441" t="s">
        <v>702</v>
      </c>
      <c r="C219" s="442"/>
      <c r="D219" s="357"/>
      <c r="E219" s="357"/>
      <c r="F219" s="357"/>
      <c r="G219" s="357"/>
      <c r="H219" s="357"/>
      <c r="I219" s="357"/>
      <c r="J219" s="357"/>
      <c r="K219" s="357"/>
      <c r="L219" s="357"/>
      <c r="M219" s="357"/>
      <c r="N219" s="357"/>
      <c r="O219" s="357"/>
      <c r="P219" s="358"/>
      <c r="Q219" s="212" t="str">
        <f t="shared" si="67"/>
        <v/>
      </c>
    </row>
    <row r="220" spans="1:23" ht="15" customHeight="1" x14ac:dyDescent="0.25">
      <c r="B220" s="441" t="s">
        <v>428</v>
      </c>
      <c r="C220" s="442"/>
      <c r="D220" s="213">
        <f>D218+D219</f>
        <v>-447970.75999999995</v>
      </c>
      <c r="E220" s="213">
        <f>E218+E219</f>
        <v>-150064.90999999997</v>
      </c>
      <c r="F220" s="213">
        <f>F218+F219</f>
        <v>-398768.79</v>
      </c>
      <c r="G220" s="213">
        <f t="shared" ref="G220:P220" si="72">G218+G219</f>
        <v>-407207.15</v>
      </c>
      <c r="H220" s="213">
        <f t="shared" ref="H220:O220" si="73">H218+H219</f>
        <v>19.55</v>
      </c>
      <c r="I220" s="213">
        <f t="shared" si="73"/>
        <v>364.87</v>
      </c>
      <c r="J220" s="213">
        <f t="shared" si="73"/>
        <v>0</v>
      </c>
      <c r="K220" s="213">
        <f t="shared" si="73"/>
        <v>0</v>
      </c>
      <c r="L220" s="213">
        <f t="shared" si="73"/>
        <v>0</v>
      </c>
      <c r="M220" s="213">
        <f t="shared" si="73"/>
        <v>0</v>
      </c>
      <c r="N220" s="213">
        <f t="shared" si="73"/>
        <v>0</v>
      </c>
      <c r="O220" s="213">
        <f t="shared" si="73"/>
        <v>0</v>
      </c>
      <c r="P220" s="181">
        <f t="shared" si="72"/>
        <v>-2978585.57</v>
      </c>
      <c r="Q220" s="212">
        <f t="shared" si="67"/>
        <v>-6.3146691309324989</v>
      </c>
    </row>
    <row r="221" spans="1:23" s="57" customFormat="1" ht="15" customHeight="1" x14ac:dyDescent="0.25">
      <c r="A221" s="3"/>
      <c r="B221" s="443" t="s">
        <v>700</v>
      </c>
      <c r="C221" s="444"/>
      <c r="D221" s="94">
        <f>D218-'INFORMAÇÃO FINANCEIRA'!C85</f>
        <v>-447970.75999999995</v>
      </c>
      <c r="E221" s="94">
        <f>E218-'INFORMAÇÃO FINANCEIRA'!D85</f>
        <v>-150064.90999999997</v>
      </c>
      <c r="F221" s="94">
        <f>F218-'INFORMAÇÃO FINANCEIRA'!E85</f>
        <v>-398768.79</v>
      </c>
      <c r="G221" s="94">
        <f>G218-'INFORMAÇÃO FINANCEIRA'!F85</f>
        <v>-407207.15</v>
      </c>
      <c r="H221" s="94">
        <f>H218-'INFORMAÇÃO FINANCEIRA'!G85</f>
        <v>6409899.3799999999</v>
      </c>
      <c r="I221" s="94" t="e">
        <f>I218-'INFORMAÇÃO FINANCEIRA'!H85</f>
        <v>#VALUE!</v>
      </c>
      <c r="J221" s="94">
        <f>J218-'INFORMAÇÃO FINANCEIRA'!I85</f>
        <v>0</v>
      </c>
      <c r="K221" s="94">
        <f>K218-'INFORMAÇÃO FINANCEIRA'!J85</f>
        <v>0</v>
      </c>
      <c r="L221" s="94">
        <f>L218-'INFORMAÇÃO FINANCEIRA'!K85</f>
        <v>0</v>
      </c>
      <c r="M221" s="94">
        <f>M218-'INFORMAÇÃO FINANCEIRA'!L85</f>
        <v>0</v>
      </c>
      <c r="N221" s="94">
        <f>N218-'INFORMAÇÃO FINANCEIRA'!M85</f>
        <v>0</v>
      </c>
      <c r="O221" s="94">
        <f>O218-'INFORMAÇÃO FINANCEIRA'!N85</f>
        <v>0</v>
      </c>
      <c r="P221" s="94">
        <f>P218-'INFORMAÇÃO FINANCEIRA'!G85</f>
        <v>3431294.2600000002</v>
      </c>
      <c r="Q221" s="182"/>
      <c r="R221" s="3"/>
      <c r="S221" s="3"/>
      <c r="T221" s="3"/>
      <c r="U221" s="3"/>
      <c r="V221" s="3"/>
      <c r="W221" s="3"/>
    </row>
    <row r="222" spans="1:23" s="57" customFormat="1" ht="15" customHeight="1" x14ac:dyDescent="0.25">
      <c r="A222" s="3"/>
      <c r="B222" s="439" t="s">
        <v>701</v>
      </c>
      <c r="C222" s="440"/>
      <c r="D222" s="183">
        <f>D220-'INFORMAÇÃO FINANCEIRA'!C87</f>
        <v>-447970.75999999995</v>
      </c>
      <c r="E222" s="183">
        <f>E220-'INFORMAÇÃO FINANCEIRA'!D87</f>
        <v>-150064.90999999997</v>
      </c>
      <c r="F222" s="183">
        <f>F220-'INFORMAÇÃO FINANCEIRA'!E87</f>
        <v>-398768.79</v>
      </c>
      <c r="G222" s="183">
        <f>G220-'INFORMAÇÃO FINANCEIRA'!F87</f>
        <v>-407207.15</v>
      </c>
      <c r="H222" s="183">
        <f>H220-'INFORMAÇÃO FINANCEIRA'!G87</f>
        <v>6409899.3799999999</v>
      </c>
      <c r="I222" s="183" t="e">
        <f>I220-'INFORMAÇÃO FINANCEIRA'!H87</f>
        <v>#VALUE!</v>
      </c>
      <c r="J222" s="183">
        <f>J220-'INFORMAÇÃO FINANCEIRA'!I87</f>
        <v>0</v>
      </c>
      <c r="K222" s="183">
        <f>K220-'INFORMAÇÃO FINANCEIRA'!J87</f>
        <v>0</v>
      </c>
      <c r="L222" s="183">
        <f>L220-'INFORMAÇÃO FINANCEIRA'!K87</f>
        <v>0</v>
      </c>
      <c r="M222" s="183">
        <f>M220-'INFORMAÇÃO FINANCEIRA'!L87</f>
        <v>0</v>
      </c>
      <c r="N222" s="183">
        <f>N220-'INFORMAÇÃO FINANCEIRA'!M87</f>
        <v>0</v>
      </c>
      <c r="O222" s="183">
        <f>O220-'INFORMAÇÃO FINANCEIRA'!N87</f>
        <v>0</v>
      </c>
      <c r="P222" s="183">
        <f>P220-'INFORMAÇÃO FINANCEIRA'!G87</f>
        <v>3431294.2600000002</v>
      </c>
      <c r="Q222" s="184"/>
      <c r="R222" s="3"/>
      <c r="S222" s="3"/>
      <c r="T222" s="3"/>
      <c r="U222" s="3"/>
      <c r="V222" s="3"/>
      <c r="W222" s="3"/>
    </row>
    <row r="223" spans="1:23" s="57" customFormat="1" ht="15" customHeight="1" x14ac:dyDescent="0.25">
      <c r="A223" s="3"/>
      <c r="B223" s="4"/>
      <c r="C223" s="4"/>
      <c r="D223" s="3"/>
      <c r="E223" s="3"/>
      <c r="F223" s="3"/>
      <c r="G223" s="3"/>
      <c r="H223" s="3"/>
      <c r="I223" s="3"/>
      <c r="J223" s="3"/>
      <c r="K223" s="3"/>
      <c r="L223" s="3"/>
      <c r="M223" s="3"/>
      <c r="N223" s="3"/>
      <c r="O223" s="3"/>
      <c r="P223" s="3"/>
      <c r="R223" s="3"/>
      <c r="S223" s="3"/>
      <c r="T223" s="3"/>
      <c r="U223" s="3"/>
      <c r="V223" s="3"/>
      <c r="W223" s="3"/>
    </row>
    <row r="224" spans="1:23" s="57" customFormat="1" ht="15" customHeight="1" x14ac:dyDescent="0.25">
      <c r="A224" s="3"/>
      <c r="B224" s="4"/>
      <c r="C224" s="4"/>
      <c r="D224" s="3"/>
      <c r="E224" s="3"/>
      <c r="F224" s="3"/>
      <c r="G224" s="3"/>
      <c r="H224" s="3"/>
      <c r="I224" s="3"/>
      <c r="J224" s="3"/>
      <c r="K224" s="3"/>
      <c r="L224" s="3"/>
      <c r="M224" s="3"/>
      <c r="N224" s="3"/>
      <c r="O224" s="3"/>
      <c r="P224" s="3"/>
      <c r="R224" s="3"/>
      <c r="S224" s="3"/>
      <c r="T224" s="3"/>
      <c r="U224" s="3"/>
      <c r="V224" s="3"/>
      <c r="W224" s="3"/>
    </row>
    <row r="225" spans="1:23" s="57" customFormat="1" ht="15" hidden="1" customHeight="1" x14ac:dyDescent="0.2">
      <c r="A225" s="3"/>
      <c r="B225" s="4"/>
      <c r="C225" s="4"/>
      <c r="D225" s="3"/>
      <c r="E225" s="3"/>
      <c r="F225" s="3"/>
      <c r="G225" s="3"/>
      <c r="H225" s="3"/>
      <c r="I225" s="3"/>
      <c r="J225" s="3"/>
      <c r="K225" s="3"/>
      <c r="L225" s="3"/>
      <c r="M225" s="3"/>
      <c r="N225" s="3"/>
      <c r="O225" s="3"/>
      <c r="P225" s="3"/>
      <c r="R225" s="3"/>
      <c r="S225" s="3"/>
      <c r="T225" s="3"/>
      <c r="U225" s="3"/>
      <c r="V225" s="3"/>
      <c r="W225" s="3"/>
    </row>
    <row r="421" ht="15" customHeight="1" x14ac:dyDescent="0.25"/>
    <row r="422" ht="15" customHeight="1" x14ac:dyDescent="0.25"/>
    <row r="423" ht="15" customHeight="1" x14ac:dyDescent="0.25"/>
    <row r="424" ht="15" customHeight="1" x14ac:dyDescent="0.25"/>
  </sheetData>
  <sheetProtection sort="0" autoFilter="0"/>
  <mergeCells count="15">
    <mergeCell ref="B220:C220"/>
    <mergeCell ref="B221:C221"/>
    <mergeCell ref="B222:C222"/>
    <mergeCell ref="B129:Q129"/>
    <mergeCell ref="B211:C211"/>
    <mergeCell ref="B216:C216"/>
    <mergeCell ref="B217:C217"/>
    <mergeCell ref="B218:C218"/>
    <mergeCell ref="B219:C219"/>
    <mergeCell ref="B124:C124"/>
    <mergeCell ref="B1:C1"/>
    <mergeCell ref="B5:C5"/>
    <mergeCell ref="D5:F5"/>
    <mergeCell ref="B8:Q8"/>
    <mergeCell ref="B12:Q12"/>
  </mergeCells>
  <conditionalFormatting sqref="E222">
    <cfRule type="expression" dxfId="11" priority="6">
      <formula>E222&lt;&gt;0</formula>
    </cfRule>
  </conditionalFormatting>
  <conditionalFormatting sqref="D221">
    <cfRule type="expression" dxfId="10" priority="12">
      <formula>D221&lt;&gt;0</formula>
    </cfRule>
  </conditionalFormatting>
  <conditionalFormatting sqref="E221">
    <cfRule type="expression" dxfId="9" priority="11">
      <formula>E221&lt;&gt;0</formula>
    </cfRule>
  </conditionalFormatting>
  <conditionalFormatting sqref="F221">
    <cfRule type="expression" dxfId="8" priority="10">
      <formula>F221&lt;&gt;0</formula>
    </cfRule>
  </conditionalFormatting>
  <conditionalFormatting sqref="G221">
    <cfRule type="expression" dxfId="7" priority="9">
      <formula>G221&lt;&gt;0</formula>
    </cfRule>
  </conditionalFormatting>
  <conditionalFormatting sqref="P221">
    <cfRule type="expression" dxfId="6" priority="8">
      <formula>P221&lt;&gt;0</formula>
    </cfRule>
  </conditionalFormatting>
  <conditionalFormatting sqref="D222">
    <cfRule type="expression" dxfId="5" priority="7">
      <formula>D222&lt;&gt;0</formula>
    </cfRule>
  </conditionalFormatting>
  <conditionalFormatting sqref="F222">
    <cfRule type="expression" dxfId="4" priority="5">
      <formula>F222&lt;&gt;0</formula>
    </cfRule>
  </conditionalFormatting>
  <conditionalFormatting sqref="G222">
    <cfRule type="expression" dxfId="3" priority="4">
      <formula>G222&lt;&gt;0</formula>
    </cfRule>
  </conditionalFormatting>
  <conditionalFormatting sqref="P222">
    <cfRule type="expression" dxfId="2" priority="3">
      <formula>P222&lt;&gt;0</formula>
    </cfRule>
  </conditionalFormatting>
  <conditionalFormatting sqref="H221:O221">
    <cfRule type="expression" dxfId="1" priority="2">
      <formula>H221&lt;&gt;0</formula>
    </cfRule>
  </conditionalFormatting>
  <conditionalFormatting sqref="H222:O222">
    <cfRule type="expression" dxfId="0" priority="1">
      <formula>H222&lt;&gt;0</formula>
    </cfRule>
  </conditionalFormatting>
  <hyperlinks>
    <hyperlink ref="B1" location="COVER!A1" display="BACK TO INDEX" xr:uid="{00000000-0004-0000-1E00-000000000000}"/>
    <hyperlink ref="B1:C1" location="ÍNDICE!A1" display="BACK TO INDEX" xr:uid="{00000000-0004-0000-1E00-000001000000}"/>
  </hyperlinks>
  <pageMargins left="0.7" right="0.7" top="0.75" bottom="0.75" header="0.3" footer="0.3"/>
  <pageSetup scale="53" orientation="portrait" r:id="rId1"/>
  <colBreaks count="1" manualBreakCount="1">
    <brk id="18" min="1" max="150" man="1"/>
  </colBreaks>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tabColor rgb="FF92D050"/>
  </sheetPr>
  <dimension ref="A1:W161"/>
  <sheetViews>
    <sheetView showGridLines="0" topLeftCell="B25" zoomScale="80" zoomScaleNormal="80" workbookViewId="0">
      <selection activeCell="I72" sqref="I72"/>
    </sheetView>
  </sheetViews>
  <sheetFormatPr defaultColWidth="0" defaultRowHeight="15" customHeight="1" zeroHeight="1" x14ac:dyDescent="0.25"/>
  <cols>
    <col min="1" max="1" width="1.140625" style="3" customWidth="1"/>
    <col min="2" max="2" width="57.42578125" style="4" bestFit="1" customWidth="1"/>
    <col min="3" max="14" width="18.85546875" style="3" customWidth="1"/>
    <col min="15" max="15" width="18" style="3" customWidth="1"/>
    <col min="16" max="16" width="14" style="57" customWidth="1"/>
    <col min="17" max="17" width="1" style="3" customWidth="1"/>
    <col min="18" max="19" width="5" style="3" hidden="1" customWidth="1"/>
    <col min="20" max="23" width="9.140625" style="3" hidden="1" customWidth="1"/>
    <col min="24" max="16384" width="5" style="3" hidden="1"/>
  </cols>
  <sheetData>
    <row r="1" spans="1:17" ht="21" customHeight="1" x14ac:dyDescent="0.2">
      <c r="A1" s="2"/>
      <c r="B1" s="167" t="s">
        <v>29</v>
      </c>
      <c r="C1" s="2"/>
      <c r="D1" s="2"/>
      <c r="E1" s="2"/>
      <c r="F1" s="2"/>
      <c r="G1" s="2"/>
      <c r="H1" s="2"/>
      <c r="I1" s="2"/>
      <c r="J1" s="2"/>
      <c r="K1" s="2"/>
      <c r="L1" s="2"/>
      <c r="M1" s="2"/>
      <c r="N1" s="2"/>
      <c r="O1" s="2"/>
      <c r="P1" s="56"/>
      <c r="Q1" s="56"/>
    </row>
    <row r="2" spans="1:17" ht="15" customHeight="1" x14ac:dyDescent="0.2"/>
    <row r="3" spans="1:17" ht="15" customHeight="1" x14ac:dyDescent="0.25">
      <c r="D3" s="12" t="s">
        <v>37</v>
      </c>
      <c r="E3" s="186">
        <v>2022</v>
      </c>
    </row>
    <row r="4" spans="1:17" ht="15" customHeight="1" x14ac:dyDescent="0.2"/>
    <row r="5" spans="1:17" ht="20.25" customHeight="1" x14ac:dyDescent="0.2">
      <c r="B5" s="5" t="s">
        <v>4</v>
      </c>
      <c r="C5" s="373" t="str">
        <f>IF(COVER!E8&lt;&gt;"",COVER!E8,"")</f>
        <v>POWER BLOX AFRICA, S.A.</v>
      </c>
      <c r="D5" s="374"/>
      <c r="E5" s="375"/>
    </row>
    <row r="6" spans="1:17" ht="15" customHeight="1" x14ac:dyDescent="0.2"/>
    <row r="7" spans="1:17" x14ac:dyDescent="0.25"/>
    <row r="8" spans="1:17" s="6" customFormat="1" ht="30.75" customHeight="1" x14ac:dyDescent="0.25">
      <c r="B8" s="376" t="s">
        <v>8</v>
      </c>
      <c r="C8" s="377"/>
      <c r="D8" s="377"/>
      <c r="E8" s="377"/>
      <c r="F8" s="377"/>
      <c r="G8" s="377"/>
      <c r="H8" s="377"/>
      <c r="I8" s="377"/>
      <c r="J8" s="377"/>
      <c r="K8" s="377"/>
      <c r="L8" s="377"/>
      <c r="M8" s="377"/>
      <c r="N8" s="377"/>
      <c r="O8" s="377"/>
      <c r="P8" s="377"/>
    </row>
    <row r="9" spans="1:17" ht="15" customHeight="1" x14ac:dyDescent="0.2"/>
    <row r="10" spans="1:17" ht="21.75" customHeight="1" x14ac:dyDescent="0.25">
      <c r="B10" s="370" t="s">
        <v>82</v>
      </c>
      <c r="C10" s="371"/>
      <c r="D10" s="371"/>
      <c r="E10" s="371"/>
      <c r="F10" s="371"/>
      <c r="G10" s="371"/>
      <c r="H10" s="371"/>
      <c r="I10" s="371"/>
      <c r="J10" s="371"/>
      <c r="K10" s="371"/>
      <c r="L10" s="371"/>
      <c r="M10" s="371"/>
      <c r="N10" s="371"/>
      <c r="O10" s="371"/>
      <c r="P10" s="372"/>
    </row>
    <row r="11" spans="1:17" ht="15" customHeight="1" x14ac:dyDescent="0.2">
      <c r="O11" s="122" t="s">
        <v>432</v>
      </c>
      <c r="P11" s="121" t="str">
        <f>IF(COVER!$K$6&lt;&gt;"",CONCATENATE("milhares ",COVER!$K$6),"")</f>
        <v>milhares MZN</v>
      </c>
    </row>
    <row r="12" spans="1:17" s="31" customFormat="1" ht="31.5" customHeight="1" x14ac:dyDescent="0.25">
      <c r="B12" s="67"/>
      <c r="C12" s="103" t="str">
        <f>'DETALHE GANHOS E GASTOS MENSAL'!D10</f>
        <v>JAN</v>
      </c>
      <c r="D12" s="103" t="str">
        <f>'DETALHE GANHOS E GASTOS MENSAL'!E10</f>
        <v>FEV</v>
      </c>
      <c r="E12" s="103" t="str">
        <f>'DETALHE GANHOS E GASTOS MENSAL'!F10</f>
        <v>MARCH</v>
      </c>
      <c r="F12" s="103" t="str">
        <f>'DETALHE GANHOS E GASTOS MENSAL'!G10</f>
        <v>APRIL</v>
      </c>
      <c r="G12" s="103" t="str">
        <f>'DETALHE GANHOS E GASTOS MENSAL'!H10</f>
        <v>MAY</v>
      </c>
      <c r="H12" s="103" t="str">
        <f>'DETALHE GANHOS E GASTOS MENSAL'!I10</f>
        <v>JUNE</v>
      </c>
      <c r="I12" s="103" t="str">
        <f>'DETALHE GANHOS E GASTOS MENSAL'!J10</f>
        <v>JULY</v>
      </c>
      <c r="J12" s="103" t="str">
        <f>'DETALHE GANHOS E GASTOS MENSAL'!K10</f>
        <v>AUGUST</v>
      </c>
      <c r="K12" s="103" t="str">
        <f>'DETALHE GANHOS E GASTOS MENSAL'!L10</f>
        <v>SEPTEMBER</v>
      </c>
      <c r="L12" s="103" t="str">
        <f>'DETALHE GANHOS E GASTOS MENSAL'!M10</f>
        <v>OCTOBER</v>
      </c>
      <c r="M12" s="103" t="str">
        <f>'DETALHE GANHOS E GASTOS MENSAL'!N10</f>
        <v>NOVEMBER</v>
      </c>
      <c r="N12" s="103" t="str">
        <f>'DETALHE GANHOS E GASTOS MENSAL'!O10</f>
        <v>DEZEMBER</v>
      </c>
      <c r="O12" s="104">
        <f>$E$3</f>
        <v>2022</v>
      </c>
      <c r="P12" s="105" t="str">
        <f>IF(AND(F12&lt;&gt;"",O12&lt;&gt;""),CONCATENATE("Variação % (",O12,"/",F12,")"),"")</f>
        <v>Variação % (2022/APRIL)</v>
      </c>
    </row>
    <row r="13" spans="1:17" ht="15" customHeight="1" x14ac:dyDescent="0.25">
      <c r="B13" s="71"/>
    </row>
    <row r="14" spans="1:17" ht="21" customHeight="1" x14ac:dyDescent="0.25">
      <c r="B14" s="378" t="s">
        <v>107</v>
      </c>
      <c r="C14" s="379"/>
      <c r="D14" s="379"/>
      <c r="E14" s="379"/>
      <c r="F14" s="379"/>
      <c r="G14" s="379"/>
      <c r="H14" s="379"/>
      <c r="I14" s="379"/>
      <c r="J14" s="379"/>
      <c r="K14" s="379"/>
      <c r="L14" s="379"/>
      <c r="M14" s="379"/>
      <c r="N14" s="379"/>
      <c r="O14" s="379"/>
      <c r="P14" s="379"/>
    </row>
    <row r="15" spans="1:17" ht="15" customHeight="1" x14ac:dyDescent="0.25">
      <c r="B15" s="72"/>
      <c r="C15" s="106"/>
      <c r="D15" s="91"/>
      <c r="E15" s="91"/>
      <c r="F15" s="91"/>
      <c r="G15" s="91"/>
      <c r="H15" s="91"/>
      <c r="I15" s="91"/>
      <c r="J15" s="91"/>
      <c r="K15" s="91"/>
      <c r="L15" s="91"/>
      <c r="M15" s="91"/>
      <c r="N15" s="91"/>
      <c r="O15" s="107"/>
      <c r="P15" s="215"/>
    </row>
    <row r="16" spans="1:17" ht="15" customHeight="1" x14ac:dyDescent="0.25">
      <c r="B16" s="73" t="s">
        <v>83</v>
      </c>
      <c r="C16" s="225">
        <f>SUM(C17:C25)</f>
        <v>0</v>
      </c>
      <c r="D16" s="211">
        <f t="shared" ref="D16:O16" si="0">SUM(D17:D25)</f>
        <v>0</v>
      </c>
      <c r="E16" s="211">
        <f t="shared" si="0"/>
        <v>0</v>
      </c>
      <c r="F16" s="211">
        <f t="shared" si="0"/>
        <v>0</v>
      </c>
      <c r="G16" s="211">
        <f t="shared" ref="G16:N16" si="1">SUM(G17:G25)</f>
        <v>0</v>
      </c>
      <c r="H16" s="211">
        <f t="shared" si="1"/>
        <v>0</v>
      </c>
      <c r="I16" s="211">
        <f t="shared" si="1"/>
        <v>0</v>
      </c>
      <c r="J16" s="211">
        <f t="shared" si="1"/>
        <v>0</v>
      </c>
      <c r="K16" s="211">
        <f t="shared" si="1"/>
        <v>0</v>
      </c>
      <c r="L16" s="211">
        <f t="shared" si="1"/>
        <v>0</v>
      </c>
      <c r="M16" s="211">
        <f t="shared" si="1"/>
        <v>0</v>
      </c>
      <c r="N16" s="211">
        <f t="shared" si="1"/>
        <v>0</v>
      </c>
      <c r="O16" s="112">
        <f t="shared" si="0"/>
        <v>0</v>
      </c>
      <c r="P16" s="212" t="str">
        <f t="shared" ref="P16:P25" si="2">IFERROR(IF(AND(F16&lt;0,O16&lt;=0),-(O16-F16)/F16,IF(AND(F16&lt;0,O16&gt;0),-(O16-F16)/F16,(O16-F16)/F16)),"")</f>
        <v/>
      </c>
    </row>
    <row r="17" spans="2:16" ht="15" customHeight="1" x14ac:dyDescent="0.25">
      <c r="B17" s="74" t="s">
        <v>112</v>
      </c>
      <c r="C17" s="217"/>
      <c r="D17" s="205"/>
      <c r="E17" s="205"/>
      <c r="F17" s="205"/>
      <c r="G17" s="205"/>
      <c r="H17" s="205"/>
      <c r="I17" s="205"/>
      <c r="J17" s="205"/>
      <c r="K17" s="205"/>
      <c r="L17" s="205"/>
      <c r="M17" s="205"/>
      <c r="N17" s="205"/>
      <c r="O17" s="206"/>
      <c r="P17" s="216" t="str">
        <f t="shared" si="2"/>
        <v/>
      </c>
    </row>
    <row r="18" spans="2:16" ht="15" customHeight="1" x14ac:dyDescent="0.25">
      <c r="B18" s="77" t="s">
        <v>113</v>
      </c>
      <c r="C18" s="218"/>
      <c r="D18" s="207"/>
      <c r="E18" s="207"/>
      <c r="F18" s="207"/>
      <c r="G18" s="207"/>
      <c r="H18" s="207"/>
      <c r="I18" s="207"/>
      <c r="J18" s="207"/>
      <c r="K18" s="207"/>
      <c r="L18" s="207"/>
      <c r="M18" s="207"/>
      <c r="N18" s="207"/>
      <c r="O18" s="208"/>
      <c r="P18" s="214" t="str">
        <f t="shared" si="2"/>
        <v/>
      </c>
    </row>
    <row r="19" spans="2:16" ht="15" customHeight="1" x14ac:dyDescent="0.25">
      <c r="B19" s="78" t="s">
        <v>84</v>
      </c>
      <c r="C19" s="218"/>
      <c r="D19" s="207"/>
      <c r="E19" s="207"/>
      <c r="F19" s="207"/>
      <c r="G19" s="207"/>
      <c r="H19" s="207"/>
      <c r="I19" s="207"/>
      <c r="J19" s="207"/>
      <c r="K19" s="207"/>
      <c r="L19" s="207"/>
      <c r="M19" s="207"/>
      <c r="N19" s="207"/>
      <c r="O19" s="208"/>
      <c r="P19" s="214" t="str">
        <f t="shared" si="2"/>
        <v/>
      </c>
    </row>
    <row r="20" spans="2:16" ht="15" customHeight="1" x14ac:dyDescent="0.25">
      <c r="B20" s="77" t="s">
        <v>111</v>
      </c>
      <c r="C20" s="218"/>
      <c r="D20" s="207"/>
      <c r="E20" s="207"/>
      <c r="F20" s="207"/>
      <c r="G20" s="207"/>
      <c r="H20" s="207"/>
      <c r="I20" s="207"/>
      <c r="J20" s="207"/>
      <c r="K20" s="207"/>
      <c r="L20" s="207"/>
      <c r="M20" s="207"/>
      <c r="N20" s="207"/>
      <c r="O20" s="208"/>
      <c r="P20" s="214" t="str">
        <f t="shared" si="2"/>
        <v/>
      </c>
    </row>
    <row r="21" spans="2:16" ht="15" customHeight="1" x14ac:dyDescent="0.25">
      <c r="B21" s="77" t="s">
        <v>85</v>
      </c>
      <c r="C21" s="218"/>
      <c r="D21" s="207"/>
      <c r="E21" s="207"/>
      <c r="F21" s="207"/>
      <c r="G21" s="207"/>
      <c r="H21" s="207"/>
      <c r="I21" s="207"/>
      <c r="J21" s="207"/>
      <c r="K21" s="207"/>
      <c r="L21" s="207"/>
      <c r="M21" s="207"/>
      <c r="N21" s="207"/>
      <c r="O21" s="208"/>
      <c r="P21" s="214" t="str">
        <f t="shared" si="2"/>
        <v/>
      </c>
    </row>
    <row r="22" spans="2:16" ht="15" customHeight="1" x14ac:dyDescent="0.25">
      <c r="B22" s="77" t="s">
        <v>86</v>
      </c>
      <c r="C22" s="218"/>
      <c r="D22" s="207"/>
      <c r="E22" s="207"/>
      <c r="F22" s="207"/>
      <c r="G22" s="207"/>
      <c r="H22" s="207"/>
      <c r="I22" s="207"/>
      <c r="J22" s="207"/>
      <c r="K22" s="207"/>
      <c r="L22" s="207"/>
      <c r="M22" s="207"/>
      <c r="N22" s="207"/>
      <c r="O22" s="208"/>
      <c r="P22" s="214" t="str">
        <f t="shared" si="2"/>
        <v/>
      </c>
    </row>
    <row r="23" spans="2:16" ht="15" customHeight="1" x14ac:dyDescent="0.25">
      <c r="B23" s="77" t="s">
        <v>87</v>
      </c>
      <c r="C23" s="218"/>
      <c r="D23" s="207"/>
      <c r="E23" s="207"/>
      <c r="F23" s="207"/>
      <c r="G23" s="207"/>
      <c r="H23" s="207"/>
      <c r="I23" s="207"/>
      <c r="J23" s="207"/>
      <c r="K23" s="207"/>
      <c r="L23" s="207"/>
      <c r="M23" s="207"/>
      <c r="N23" s="207"/>
      <c r="O23" s="208"/>
      <c r="P23" s="214" t="str">
        <f t="shared" si="2"/>
        <v/>
      </c>
    </row>
    <row r="24" spans="2:16" ht="15" customHeight="1" x14ac:dyDescent="0.25">
      <c r="B24" s="77" t="s">
        <v>88</v>
      </c>
      <c r="C24" s="218"/>
      <c r="D24" s="207"/>
      <c r="E24" s="207"/>
      <c r="F24" s="207"/>
      <c r="G24" s="207"/>
      <c r="H24" s="207"/>
      <c r="I24" s="207"/>
      <c r="J24" s="207"/>
      <c r="K24" s="207"/>
      <c r="L24" s="207"/>
      <c r="M24" s="207"/>
      <c r="N24" s="207"/>
      <c r="O24" s="208"/>
      <c r="P24" s="214" t="str">
        <f t="shared" si="2"/>
        <v/>
      </c>
    </row>
    <row r="25" spans="2:16" ht="15" customHeight="1" x14ac:dyDescent="0.25">
      <c r="B25" s="77" t="s">
        <v>89</v>
      </c>
      <c r="C25" s="218"/>
      <c r="D25" s="207"/>
      <c r="E25" s="207"/>
      <c r="F25" s="207"/>
      <c r="G25" s="207"/>
      <c r="H25" s="207"/>
      <c r="I25" s="207"/>
      <c r="J25" s="207"/>
      <c r="K25" s="207"/>
      <c r="L25" s="207"/>
      <c r="M25" s="207"/>
      <c r="N25" s="207"/>
      <c r="O25" s="208"/>
      <c r="P25" s="214" t="str">
        <f t="shared" si="2"/>
        <v/>
      </c>
    </row>
    <row r="26" spans="2:16" ht="15" customHeight="1" x14ac:dyDescent="0.25">
      <c r="B26" s="222"/>
      <c r="C26" s="219"/>
      <c r="D26" s="220"/>
      <c r="E26" s="220"/>
      <c r="F26" s="220"/>
      <c r="G26" s="220"/>
      <c r="H26" s="220"/>
      <c r="I26" s="220"/>
      <c r="J26" s="220"/>
      <c r="K26" s="220"/>
      <c r="L26" s="220"/>
      <c r="M26" s="220"/>
      <c r="N26" s="220"/>
      <c r="O26" s="221"/>
      <c r="P26" s="215"/>
    </row>
    <row r="27" spans="2:16" ht="15" customHeight="1" x14ac:dyDescent="0.25">
      <c r="B27" s="73" t="s">
        <v>90</v>
      </c>
      <c r="C27" s="225">
        <f>SUM(C28:C33)</f>
        <v>-640862.55000000005</v>
      </c>
      <c r="D27" s="211">
        <f t="shared" ref="D27:O27" si="3">SUM(D28:D33)</f>
        <v>570960.87</v>
      </c>
      <c r="E27" s="211">
        <f t="shared" si="3"/>
        <v>-99587.030000000028</v>
      </c>
      <c r="F27" s="211">
        <f t="shared" si="3"/>
        <v>-420431.41</v>
      </c>
      <c r="G27" s="211">
        <f t="shared" ref="G27:N27" si="4">SUM(G28:G33)</f>
        <v>979351.38</v>
      </c>
      <c r="H27" s="211">
        <f t="shared" si="4"/>
        <v>274448.21000000002</v>
      </c>
      <c r="I27" s="211">
        <f t="shared" si="4"/>
        <v>-385388.17</v>
      </c>
      <c r="J27" s="211">
        <f t="shared" si="4"/>
        <v>0</v>
      </c>
      <c r="K27" s="211">
        <f t="shared" si="4"/>
        <v>0</v>
      </c>
      <c r="L27" s="211">
        <f t="shared" si="4"/>
        <v>0</v>
      </c>
      <c r="M27" s="211">
        <f t="shared" si="4"/>
        <v>0</v>
      </c>
      <c r="N27" s="211">
        <f t="shared" si="4"/>
        <v>0</v>
      </c>
      <c r="O27" s="112">
        <f t="shared" si="3"/>
        <v>0</v>
      </c>
      <c r="P27" s="212">
        <f t="shared" ref="P27:P33" si="5">IFERROR(IF(AND(F27&lt;0,O27&lt;=0),-(O27-F27)/F27,IF(AND(F27&lt;0,O27&gt;0),-(O27-F27)/F27,(O27-F27)/F27)),"")</f>
        <v>1</v>
      </c>
    </row>
    <row r="28" spans="2:16" ht="15" customHeight="1" x14ac:dyDescent="0.25">
      <c r="B28" s="74" t="s">
        <v>109</v>
      </c>
      <c r="C28" s="217"/>
      <c r="D28" s="205"/>
      <c r="E28" s="205">
        <v>8325</v>
      </c>
      <c r="F28" s="205"/>
      <c r="G28" s="205"/>
      <c r="H28" s="205"/>
      <c r="I28" s="205"/>
      <c r="J28" s="205"/>
      <c r="K28" s="205"/>
      <c r="L28" s="205"/>
      <c r="M28" s="205"/>
      <c r="N28" s="205"/>
      <c r="O28" s="206"/>
      <c r="P28" s="216" t="str">
        <f t="shared" si="5"/>
        <v/>
      </c>
    </row>
    <row r="29" spans="2:16" ht="15" customHeight="1" x14ac:dyDescent="0.25">
      <c r="B29" s="77" t="s">
        <v>110</v>
      </c>
      <c r="C29" s="218"/>
      <c r="D29" s="207"/>
      <c r="E29" s="207"/>
      <c r="F29" s="207"/>
      <c r="G29" s="207"/>
      <c r="H29" s="207"/>
      <c r="I29" s="207"/>
      <c r="J29" s="207"/>
      <c r="K29" s="207"/>
      <c r="L29" s="207"/>
      <c r="M29" s="207"/>
      <c r="N29" s="207"/>
      <c r="O29" s="208"/>
      <c r="P29" s="214" t="str">
        <f t="shared" si="5"/>
        <v/>
      </c>
    </row>
    <row r="30" spans="2:16" ht="15" customHeight="1" x14ac:dyDescent="0.25">
      <c r="B30" s="77" t="s">
        <v>91</v>
      </c>
      <c r="C30" s="218"/>
      <c r="D30" s="207"/>
      <c r="E30" s="207">
        <v>-689039.8</v>
      </c>
      <c r="F30" s="207"/>
      <c r="G30" s="207"/>
      <c r="H30" s="207"/>
      <c r="I30" s="207"/>
      <c r="J30" s="207"/>
      <c r="K30" s="207"/>
      <c r="L30" s="207"/>
      <c r="M30" s="207"/>
      <c r="N30" s="207"/>
      <c r="O30" s="208"/>
      <c r="P30" s="214" t="str">
        <f t="shared" si="5"/>
        <v/>
      </c>
    </row>
    <row r="31" spans="2:16" ht="15" customHeight="1" x14ac:dyDescent="0.25">
      <c r="B31" s="77" t="s">
        <v>87</v>
      </c>
      <c r="C31" s="218"/>
      <c r="D31" s="207"/>
      <c r="E31" s="207"/>
      <c r="F31" s="207"/>
      <c r="G31" s="207"/>
      <c r="H31" s="207"/>
      <c r="I31" s="207"/>
      <c r="J31" s="207"/>
      <c r="K31" s="207"/>
      <c r="L31" s="207"/>
      <c r="M31" s="207"/>
      <c r="N31" s="207"/>
      <c r="O31" s="208"/>
      <c r="P31" s="214" t="str">
        <f t="shared" si="5"/>
        <v/>
      </c>
    </row>
    <row r="32" spans="2:16" ht="15" customHeight="1" x14ac:dyDescent="0.25">
      <c r="B32" s="77" t="s">
        <v>92</v>
      </c>
      <c r="C32" s="218"/>
      <c r="D32" s="207"/>
      <c r="E32" s="207"/>
      <c r="F32" s="207"/>
      <c r="G32" s="207"/>
      <c r="H32" s="207"/>
      <c r="I32" s="207"/>
      <c r="J32" s="207"/>
      <c r="K32" s="207"/>
      <c r="L32" s="207"/>
      <c r="M32" s="207"/>
      <c r="N32" s="207"/>
      <c r="O32" s="208"/>
      <c r="P32" s="214" t="str">
        <f t="shared" si="5"/>
        <v/>
      </c>
    </row>
    <row r="33" spans="2:16" ht="15" customHeight="1" x14ac:dyDescent="0.25">
      <c r="B33" s="77" t="s">
        <v>114</v>
      </c>
      <c r="C33" s="218">
        <f>-(18207.56+622654.99)</f>
        <v>-640862.55000000005</v>
      </c>
      <c r="D33" s="207">
        <f>(606773.87-35813)</f>
        <v>570960.87</v>
      </c>
      <c r="E33" s="207">
        <f>(702536.27-121408.5)</f>
        <v>581127.77</v>
      </c>
      <c r="F33" s="207">
        <f>-(395+420036.41)</f>
        <v>-420431.41</v>
      </c>
      <c r="G33" s="207">
        <f>1020571.38-41220</f>
        <v>979351.38</v>
      </c>
      <c r="H33" s="207">
        <v>274448.21000000002</v>
      </c>
      <c r="I33" s="207">
        <f>-(5765.61+379622.56)</f>
        <v>-385388.17</v>
      </c>
      <c r="J33" s="207"/>
      <c r="K33" s="207"/>
      <c r="L33" s="207"/>
      <c r="M33" s="205"/>
      <c r="N33" s="208"/>
      <c r="O33" s="208"/>
      <c r="P33" s="214">
        <f t="shared" si="5"/>
        <v>1</v>
      </c>
    </row>
    <row r="34" spans="2:16" ht="15" customHeight="1" x14ac:dyDescent="0.25">
      <c r="B34" s="222"/>
      <c r="C34" s="219"/>
      <c r="D34" s="220"/>
      <c r="E34" s="220"/>
      <c r="F34" s="220"/>
      <c r="G34" s="220"/>
      <c r="H34" s="220"/>
      <c r="I34" s="220"/>
      <c r="J34" s="220"/>
      <c r="K34" s="220"/>
      <c r="L34" s="220"/>
      <c r="M34" s="220"/>
      <c r="N34" s="220"/>
      <c r="O34" s="221"/>
      <c r="P34" s="215"/>
    </row>
    <row r="35" spans="2:16" ht="15" customHeight="1" x14ac:dyDescent="0.25">
      <c r="B35" s="79" t="s">
        <v>93</v>
      </c>
      <c r="C35" s="116">
        <f>C16+C27</f>
        <v>-640862.55000000005</v>
      </c>
      <c r="D35" s="92">
        <f t="shared" ref="D35:O35" si="6">D16+D27</f>
        <v>570960.87</v>
      </c>
      <c r="E35" s="92">
        <f t="shared" si="6"/>
        <v>-99587.030000000028</v>
      </c>
      <c r="F35" s="92">
        <f t="shared" si="6"/>
        <v>-420431.41</v>
      </c>
      <c r="G35" s="92">
        <f t="shared" ref="G35:N35" si="7">G16+G27</f>
        <v>979351.38</v>
      </c>
      <c r="H35" s="92">
        <f t="shared" si="7"/>
        <v>274448.21000000002</v>
      </c>
      <c r="I35" s="92">
        <f t="shared" si="7"/>
        <v>-385388.17</v>
      </c>
      <c r="J35" s="92">
        <f t="shared" si="7"/>
        <v>0</v>
      </c>
      <c r="K35" s="92">
        <f t="shared" si="7"/>
        <v>0</v>
      </c>
      <c r="L35" s="92">
        <f t="shared" si="7"/>
        <v>0</v>
      </c>
      <c r="M35" s="92">
        <f t="shared" si="7"/>
        <v>0</v>
      </c>
      <c r="N35" s="92">
        <f t="shared" si="7"/>
        <v>0</v>
      </c>
      <c r="O35" s="92">
        <f t="shared" si="6"/>
        <v>0</v>
      </c>
      <c r="P35" s="64">
        <f>IFERROR(IF(AND(F35&lt;0,O35&lt;=0),-(O35-F35)/F35,IF(AND(F35&lt;0,O35&gt;0),-(O35-F35)/F35,(O35-F35)/F35)),"")</f>
        <v>1</v>
      </c>
    </row>
    <row r="36" spans="2:16" ht="15" customHeight="1" x14ac:dyDescent="0.25">
      <c r="B36" s="74"/>
      <c r="C36" s="75"/>
      <c r="D36" s="75"/>
      <c r="E36" s="75"/>
      <c r="F36" s="75"/>
      <c r="G36" s="75"/>
      <c r="H36" s="75"/>
      <c r="I36" s="75"/>
      <c r="J36" s="75"/>
      <c r="K36" s="75"/>
      <c r="L36" s="75"/>
      <c r="M36" s="75"/>
      <c r="N36" s="75"/>
      <c r="O36" s="76"/>
      <c r="P36" s="227"/>
    </row>
    <row r="37" spans="2:16" ht="21" customHeight="1" x14ac:dyDescent="0.25">
      <c r="B37" s="380" t="s">
        <v>108</v>
      </c>
      <c r="C37" s="381"/>
      <c r="D37" s="381"/>
      <c r="E37" s="381"/>
      <c r="F37" s="381"/>
      <c r="G37" s="381"/>
      <c r="H37" s="381"/>
      <c r="I37" s="381"/>
      <c r="J37" s="381"/>
      <c r="K37" s="381"/>
      <c r="L37" s="381"/>
      <c r="M37" s="381"/>
      <c r="N37" s="381"/>
      <c r="O37" s="381"/>
      <c r="P37" s="381"/>
    </row>
    <row r="38" spans="2:16" ht="15" customHeight="1" x14ac:dyDescent="0.25">
      <c r="B38" s="72"/>
      <c r="C38" s="106"/>
      <c r="D38" s="91"/>
      <c r="E38" s="91"/>
      <c r="F38" s="91"/>
      <c r="G38" s="91"/>
      <c r="H38" s="91"/>
      <c r="I38" s="91"/>
      <c r="J38" s="91"/>
      <c r="K38" s="91"/>
      <c r="L38" s="91"/>
      <c r="M38" s="91"/>
      <c r="N38" s="91"/>
      <c r="O38" s="107"/>
      <c r="P38" s="215"/>
    </row>
    <row r="39" spans="2:16" ht="15" customHeight="1" x14ac:dyDescent="0.25">
      <c r="B39" s="73" t="s">
        <v>118</v>
      </c>
      <c r="C39" s="225">
        <f>SUM(C40:C44)</f>
        <v>-447970.75999999995</v>
      </c>
      <c r="D39" s="211">
        <f t="shared" ref="D39:O39" si="8">SUM(D40:D44)</f>
        <v>-598035.66999999993</v>
      </c>
      <c r="E39" s="211">
        <f t="shared" si="8"/>
        <v>-996804.46</v>
      </c>
      <c r="F39" s="211">
        <f t="shared" si="8"/>
        <v>-1404011.6099999999</v>
      </c>
      <c r="G39" s="211">
        <f t="shared" ref="G39:N39" si="9">SUM(G40:G44)</f>
        <v>-1896147.38</v>
      </c>
      <c r="H39" s="211">
        <f t="shared" si="9"/>
        <v>-2148534.7999999998</v>
      </c>
      <c r="I39" s="211">
        <f t="shared" si="9"/>
        <v>-2978585.57</v>
      </c>
      <c r="J39" s="211">
        <f t="shared" si="9"/>
        <v>-2978585.57</v>
      </c>
      <c r="K39" s="211">
        <f t="shared" si="9"/>
        <v>-2978585.57</v>
      </c>
      <c r="L39" s="211">
        <f t="shared" si="9"/>
        <v>-2978585.57</v>
      </c>
      <c r="M39" s="211">
        <f t="shared" si="9"/>
        <v>-2978585.57</v>
      </c>
      <c r="N39" s="211">
        <f t="shared" si="9"/>
        <v>-2978585.57</v>
      </c>
      <c r="O39" s="112">
        <f t="shared" si="8"/>
        <v>0</v>
      </c>
      <c r="P39" s="212">
        <f t="shared" ref="P39:P44" si="10">IFERROR(IF(AND(F39&lt;0,O39&lt;=0),-(O39-F39)/F39,IF(AND(F39&lt;0,O39&gt;0),-(O39-F39)/F39,(O39-F39)/F39)),"")</f>
        <v>1</v>
      </c>
    </row>
    <row r="40" spans="2:16" ht="15" customHeight="1" x14ac:dyDescent="0.25">
      <c r="B40" s="74" t="s">
        <v>94</v>
      </c>
      <c r="C40" s="217"/>
      <c r="D40" s="205"/>
      <c r="E40" s="205"/>
      <c r="F40" s="205"/>
      <c r="G40" s="205"/>
      <c r="H40" s="205"/>
      <c r="I40" s="205"/>
      <c r="J40" s="205"/>
      <c r="K40" s="205"/>
      <c r="L40" s="205"/>
      <c r="M40" s="205"/>
      <c r="N40" s="205"/>
      <c r="O40" s="206"/>
      <c r="P40" s="216" t="str">
        <f t="shared" si="10"/>
        <v/>
      </c>
    </row>
    <row r="41" spans="2:16" ht="15" customHeight="1" x14ac:dyDescent="0.25">
      <c r="B41" s="77" t="s">
        <v>95</v>
      </c>
      <c r="C41" s="218"/>
      <c r="D41" s="207"/>
      <c r="E41" s="207"/>
      <c r="F41" s="207"/>
      <c r="G41" s="207"/>
      <c r="H41" s="207"/>
      <c r="I41" s="207"/>
      <c r="J41" s="207"/>
      <c r="K41" s="207"/>
      <c r="L41" s="207"/>
      <c r="M41" s="207"/>
      <c r="N41" s="207"/>
      <c r="O41" s="208"/>
      <c r="P41" s="214" t="str">
        <f t="shared" si="10"/>
        <v/>
      </c>
    </row>
    <row r="42" spans="2:16" ht="15" customHeight="1" x14ac:dyDescent="0.25">
      <c r="B42" s="77" t="s">
        <v>96</v>
      </c>
      <c r="C42" s="218"/>
      <c r="D42" s="207"/>
      <c r="E42" s="207"/>
      <c r="F42" s="207"/>
      <c r="G42" s="207"/>
      <c r="H42" s="207"/>
      <c r="I42" s="207"/>
      <c r="J42" s="207"/>
      <c r="K42" s="207"/>
      <c r="L42" s="207"/>
      <c r="M42" s="207"/>
      <c r="N42" s="207"/>
      <c r="O42" s="208"/>
      <c r="P42" s="214" t="str">
        <f t="shared" si="10"/>
        <v/>
      </c>
    </row>
    <row r="43" spans="2:16" ht="15" customHeight="1" x14ac:dyDescent="0.25">
      <c r="B43" s="77" t="s">
        <v>469</v>
      </c>
      <c r="C43" s="218"/>
      <c r="D43" s="207"/>
      <c r="E43" s="207"/>
      <c r="F43" s="207"/>
      <c r="G43" s="207"/>
      <c r="H43" s="207"/>
      <c r="I43" s="207"/>
      <c r="J43" s="207"/>
      <c r="K43" s="207"/>
      <c r="L43" s="207"/>
      <c r="M43" s="207"/>
      <c r="N43" s="207"/>
      <c r="O43" s="208"/>
      <c r="P43" s="214" t="str">
        <f t="shared" si="10"/>
        <v/>
      </c>
    </row>
    <row r="44" spans="2:16" ht="15" customHeight="1" x14ac:dyDescent="0.25">
      <c r="B44" s="77" t="s">
        <v>117</v>
      </c>
      <c r="C44" s="223">
        <f>C87</f>
        <v>-447970.75999999995</v>
      </c>
      <c r="D44" s="223">
        <f>D87+C44</f>
        <v>-598035.66999999993</v>
      </c>
      <c r="E44" s="223">
        <f>E87+D44</f>
        <v>-996804.46</v>
      </c>
      <c r="F44" s="223">
        <f t="shared" ref="F44:N44" si="11">F87+E44</f>
        <v>-1404011.6099999999</v>
      </c>
      <c r="G44" s="223">
        <f t="shared" si="11"/>
        <v>-1896147.38</v>
      </c>
      <c r="H44" s="223">
        <f t="shared" si="11"/>
        <v>-2148534.7999999998</v>
      </c>
      <c r="I44" s="223">
        <f t="shared" si="11"/>
        <v>-2978585.57</v>
      </c>
      <c r="J44" s="223">
        <f t="shared" si="11"/>
        <v>-2978585.57</v>
      </c>
      <c r="K44" s="223">
        <f t="shared" si="11"/>
        <v>-2978585.57</v>
      </c>
      <c r="L44" s="223">
        <f t="shared" si="11"/>
        <v>-2978585.57</v>
      </c>
      <c r="M44" s="223">
        <f t="shared" si="11"/>
        <v>-2978585.57</v>
      </c>
      <c r="N44" s="223">
        <f t="shared" si="11"/>
        <v>-2978585.57</v>
      </c>
      <c r="O44" s="224"/>
      <c r="P44" s="214">
        <f t="shared" si="10"/>
        <v>1</v>
      </c>
    </row>
    <row r="45" spans="2:16" ht="15" customHeight="1" x14ac:dyDescent="0.25">
      <c r="B45" s="222"/>
      <c r="C45" s="219"/>
      <c r="D45" s="220"/>
      <c r="E45" s="220"/>
      <c r="F45" s="220"/>
      <c r="G45" s="220"/>
      <c r="H45" s="220"/>
      <c r="I45" s="220"/>
      <c r="J45" s="220"/>
      <c r="K45" s="220"/>
      <c r="L45" s="220"/>
      <c r="M45" s="220"/>
      <c r="N45" s="220"/>
      <c r="O45" s="221"/>
      <c r="P45" s="215"/>
    </row>
    <row r="46" spans="2:16" ht="15" customHeight="1" x14ac:dyDescent="0.25">
      <c r="B46" s="73" t="s">
        <v>97</v>
      </c>
      <c r="C46" s="228"/>
      <c r="D46" s="229"/>
      <c r="E46" s="229"/>
      <c r="F46" s="229"/>
      <c r="G46" s="229"/>
      <c r="H46" s="229"/>
      <c r="I46" s="229"/>
      <c r="J46" s="229"/>
      <c r="K46" s="229"/>
      <c r="L46" s="229"/>
      <c r="M46" s="229"/>
      <c r="N46" s="229"/>
      <c r="O46" s="230"/>
      <c r="P46" s="212" t="str">
        <f>IFERROR(IF(AND(F46&lt;0,O46&lt;=0),-(O46-F46)/F46,IF(AND(F46&lt;0,O46&gt;0),-(O46-F46)/F46,(O46-F46)/F46)),"")</f>
        <v/>
      </c>
    </row>
    <row r="47" spans="2:16" ht="15" customHeight="1" x14ac:dyDescent="0.25">
      <c r="B47" s="80"/>
      <c r="C47" s="108"/>
      <c r="D47" s="109"/>
      <c r="E47" s="109"/>
      <c r="F47" s="109"/>
      <c r="G47" s="109"/>
      <c r="H47" s="109"/>
      <c r="I47" s="109"/>
      <c r="J47" s="109"/>
      <c r="K47" s="109"/>
      <c r="L47" s="109"/>
      <c r="M47" s="109"/>
      <c r="N47" s="109"/>
      <c r="O47" s="110"/>
      <c r="P47" s="226"/>
    </row>
    <row r="48" spans="2:16" ht="15" customHeight="1" x14ac:dyDescent="0.25">
      <c r="B48" s="79" t="s">
        <v>119</v>
      </c>
      <c r="C48" s="116">
        <f>C39+C46</f>
        <v>-447970.75999999995</v>
      </c>
      <c r="D48" s="92">
        <f t="shared" ref="D48:O48" si="12">D39+D46</f>
        <v>-598035.66999999993</v>
      </c>
      <c r="E48" s="92">
        <f t="shared" si="12"/>
        <v>-996804.46</v>
      </c>
      <c r="F48" s="92">
        <f t="shared" si="12"/>
        <v>-1404011.6099999999</v>
      </c>
      <c r="G48" s="92">
        <f t="shared" ref="G48:N48" si="13">G39+G46</f>
        <v>-1896147.38</v>
      </c>
      <c r="H48" s="92">
        <f t="shared" si="13"/>
        <v>-2148534.7999999998</v>
      </c>
      <c r="I48" s="92">
        <f t="shared" si="13"/>
        <v>-2978585.57</v>
      </c>
      <c r="J48" s="92">
        <f t="shared" si="13"/>
        <v>-2978585.57</v>
      </c>
      <c r="K48" s="92">
        <f t="shared" si="13"/>
        <v>-2978585.57</v>
      </c>
      <c r="L48" s="92">
        <f t="shared" si="13"/>
        <v>-2978585.57</v>
      </c>
      <c r="M48" s="92">
        <f t="shared" si="13"/>
        <v>-2978585.57</v>
      </c>
      <c r="N48" s="92">
        <f t="shared" si="13"/>
        <v>-2978585.57</v>
      </c>
      <c r="O48" s="92">
        <f t="shared" si="12"/>
        <v>0</v>
      </c>
      <c r="P48" s="64">
        <f>IFERROR(IF(AND(F48&lt;0,O48&lt;=0),-(O48-F48)/F48,IF(AND(F48&lt;0,O48&gt;0),-(O48-F48)/F48,(O48-F48)/F48)),"")</f>
        <v>1</v>
      </c>
    </row>
    <row r="49" spans="2:16" ht="15" customHeight="1" x14ac:dyDescent="0.25">
      <c r="B49" s="80"/>
      <c r="C49" s="108"/>
      <c r="D49" s="109"/>
      <c r="E49" s="109"/>
      <c r="F49" s="109"/>
      <c r="G49" s="109"/>
      <c r="H49" s="109"/>
      <c r="I49" s="109"/>
      <c r="J49" s="109"/>
      <c r="K49" s="109"/>
      <c r="L49" s="109"/>
      <c r="M49" s="109"/>
      <c r="N49" s="109"/>
      <c r="O49" s="110"/>
      <c r="P49" s="226"/>
    </row>
    <row r="50" spans="2:16" ht="15" customHeight="1" x14ac:dyDescent="0.25">
      <c r="B50" s="73" t="s">
        <v>98</v>
      </c>
      <c r="C50" s="225">
        <f>SUM(C51:C55)</f>
        <v>0</v>
      </c>
      <c r="D50" s="211">
        <f t="shared" ref="D50:O50" si="14">SUM(D51:D55)</f>
        <v>0</v>
      </c>
      <c r="E50" s="211">
        <f t="shared" si="14"/>
        <v>0</v>
      </c>
      <c r="F50" s="211">
        <f t="shared" si="14"/>
        <v>0</v>
      </c>
      <c r="G50" s="211">
        <f t="shared" ref="G50:N50" si="15">SUM(G51:G55)</f>
        <v>0</v>
      </c>
      <c r="H50" s="211">
        <f t="shared" si="15"/>
        <v>0</v>
      </c>
      <c r="I50" s="211">
        <f t="shared" si="15"/>
        <v>0</v>
      </c>
      <c r="J50" s="211">
        <f t="shared" si="15"/>
        <v>0</v>
      </c>
      <c r="K50" s="211">
        <f t="shared" si="15"/>
        <v>0</v>
      </c>
      <c r="L50" s="211">
        <f t="shared" si="15"/>
        <v>0</v>
      </c>
      <c r="M50" s="211">
        <f t="shared" si="15"/>
        <v>0</v>
      </c>
      <c r="N50" s="211">
        <f t="shared" si="15"/>
        <v>0</v>
      </c>
      <c r="O50" s="112">
        <f t="shared" si="14"/>
        <v>0</v>
      </c>
      <c r="P50" s="212" t="str">
        <f t="shared" ref="P50:P63" si="16">IFERROR(IF(AND(F50&lt;0,O50&lt;=0),-(O50-F50)/F50,IF(AND(F50&lt;0,O50&gt;0),-(O50-F50)/F50,(O50-F50)/F50)),"")</f>
        <v/>
      </c>
    </row>
    <row r="51" spans="2:16" ht="15" customHeight="1" x14ac:dyDescent="0.25">
      <c r="B51" s="74" t="s">
        <v>115</v>
      </c>
      <c r="C51" s="217"/>
      <c r="D51" s="205"/>
      <c r="E51" s="205"/>
      <c r="F51" s="205"/>
      <c r="G51" s="205"/>
      <c r="H51" s="205"/>
      <c r="I51" s="205"/>
      <c r="J51" s="205"/>
      <c r="K51" s="205"/>
      <c r="L51" s="205"/>
      <c r="M51" s="205"/>
      <c r="N51" s="205"/>
      <c r="O51" s="206"/>
      <c r="P51" s="216" t="str">
        <f t="shared" si="16"/>
        <v/>
      </c>
    </row>
    <row r="52" spans="2:16" ht="15" customHeight="1" x14ac:dyDescent="0.25">
      <c r="B52" s="77" t="s">
        <v>116</v>
      </c>
      <c r="C52" s="218"/>
      <c r="D52" s="207"/>
      <c r="E52" s="207"/>
      <c r="F52" s="207"/>
      <c r="G52" s="207"/>
      <c r="H52" s="207"/>
      <c r="I52" s="207"/>
      <c r="J52" s="207"/>
      <c r="K52" s="207"/>
      <c r="L52" s="207"/>
      <c r="M52" s="207"/>
      <c r="N52" s="207"/>
      <c r="O52" s="208"/>
      <c r="P52" s="214" t="str">
        <f t="shared" si="16"/>
        <v/>
      </c>
    </row>
    <row r="53" spans="2:16" ht="15" customHeight="1" x14ac:dyDescent="0.25">
      <c r="B53" s="77" t="s">
        <v>100</v>
      </c>
      <c r="C53" s="218"/>
      <c r="D53" s="207"/>
      <c r="E53" s="207"/>
      <c r="F53" s="207"/>
      <c r="G53" s="207"/>
      <c r="H53" s="207"/>
      <c r="I53" s="207"/>
      <c r="J53" s="207"/>
      <c r="K53" s="207"/>
      <c r="L53" s="207"/>
      <c r="M53" s="207"/>
      <c r="N53" s="207"/>
      <c r="O53" s="208"/>
      <c r="P53" s="214" t="str">
        <f t="shared" si="16"/>
        <v/>
      </c>
    </row>
    <row r="54" spans="2:16" ht="15" customHeight="1" x14ac:dyDescent="0.25">
      <c r="B54" s="77" t="s">
        <v>101</v>
      </c>
      <c r="C54" s="218"/>
      <c r="D54" s="207"/>
      <c r="E54" s="207"/>
      <c r="F54" s="207"/>
      <c r="G54" s="207"/>
      <c r="H54" s="207"/>
      <c r="I54" s="207"/>
      <c r="J54" s="207"/>
      <c r="K54" s="207"/>
      <c r="L54" s="207"/>
      <c r="M54" s="207"/>
      <c r="N54" s="207"/>
      <c r="O54" s="208"/>
      <c r="P54" s="214" t="str">
        <f t="shared" si="16"/>
        <v/>
      </c>
    </row>
    <row r="55" spans="2:16" ht="15" customHeight="1" x14ac:dyDescent="0.25">
      <c r="B55" s="77" t="s">
        <v>468</v>
      </c>
      <c r="C55" s="218"/>
      <c r="D55" s="207"/>
      <c r="E55" s="207"/>
      <c r="F55" s="207"/>
      <c r="G55" s="207"/>
      <c r="H55" s="207"/>
      <c r="I55" s="207"/>
      <c r="J55" s="207"/>
      <c r="K55" s="207"/>
      <c r="L55" s="207"/>
      <c r="M55" s="207"/>
      <c r="N55" s="207"/>
      <c r="O55" s="208"/>
      <c r="P55" s="214" t="str">
        <f t="shared" si="16"/>
        <v/>
      </c>
    </row>
    <row r="56" spans="2:16" ht="15" customHeight="1" x14ac:dyDescent="0.25">
      <c r="B56" s="73" t="s">
        <v>102</v>
      </c>
      <c r="C56" s="225">
        <f>SUM(C57:C62)</f>
        <v>181872.50999999998</v>
      </c>
      <c r="D56" s="211">
        <f t="shared" ref="D56:O56" si="17">SUM(D57:D62)</f>
        <v>721025.78</v>
      </c>
      <c r="E56" s="211">
        <f t="shared" si="17"/>
        <v>299181.76</v>
      </c>
      <c r="F56" s="211">
        <f t="shared" si="17"/>
        <v>-13224.26</v>
      </c>
      <c r="G56" s="211">
        <f t="shared" ref="G56:N56" si="18">SUM(G57:G62)</f>
        <v>1473509.55</v>
      </c>
      <c r="H56" s="211">
        <f t="shared" si="18"/>
        <v>526835.85</v>
      </c>
      <c r="I56" s="211">
        <f t="shared" si="18"/>
        <v>343136.24</v>
      </c>
      <c r="J56" s="211">
        <f t="shared" si="18"/>
        <v>0</v>
      </c>
      <c r="K56" s="211">
        <f t="shared" si="18"/>
        <v>0</v>
      </c>
      <c r="L56" s="211">
        <f t="shared" si="18"/>
        <v>0</v>
      </c>
      <c r="M56" s="211">
        <f t="shared" si="18"/>
        <v>0</v>
      </c>
      <c r="N56" s="211">
        <f t="shared" si="18"/>
        <v>0</v>
      </c>
      <c r="O56" s="112">
        <f t="shared" si="17"/>
        <v>0</v>
      </c>
      <c r="P56" s="212">
        <f t="shared" si="16"/>
        <v>1</v>
      </c>
    </row>
    <row r="57" spans="2:16" ht="15" customHeight="1" x14ac:dyDescent="0.25">
      <c r="B57" s="74" t="s">
        <v>103</v>
      </c>
      <c r="C57" s="217"/>
      <c r="D57" s="205"/>
      <c r="E57" s="205"/>
      <c r="F57" s="205"/>
      <c r="G57" s="205"/>
      <c r="H57" s="205"/>
      <c r="I57" s="205"/>
      <c r="J57" s="205"/>
      <c r="K57" s="205"/>
      <c r="L57" s="205"/>
      <c r="M57" s="205"/>
      <c r="N57" s="205"/>
      <c r="O57" s="206"/>
      <c r="P57" s="216" t="str">
        <f t="shared" si="16"/>
        <v/>
      </c>
    </row>
    <row r="58" spans="2:16" ht="15" customHeight="1" x14ac:dyDescent="0.25">
      <c r="B58" s="77" t="s">
        <v>99</v>
      </c>
      <c r="C58" s="218"/>
      <c r="D58" s="207"/>
      <c r="E58" s="207"/>
      <c r="F58" s="207"/>
      <c r="G58" s="207"/>
      <c r="H58" s="207"/>
      <c r="I58" s="207"/>
      <c r="J58" s="207"/>
      <c r="K58" s="207"/>
      <c r="L58" s="207"/>
      <c r="M58" s="207"/>
      <c r="N58" s="207"/>
      <c r="O58" s="208"/>
      <c r="P58" s="214" t="str">
        <f t="shared" si="16"/>
        <v/>
      </c>
    </row>
    <row r="59" spans="2:16" ht="15" customHeight="1" x14ac:dyDescent="0.25">
      <c r="B59" s="77" t="s">
        <v>115</v>
      </c>
      <c r="C59" s="218"/>
      <c r="D59" s="207"/>
      <c r="E59" s="207"/>
      <c r="F59" s="207"/>
      <c r="G59" s="207"/>
      <c r="H59" s="207"/>
      <c r="I59" s="207"/>
      <c r="J59" s="207"/>
      <c r="K59" s="207"/>
      <c r="L59" s="207"/>
      <c r="M59" s="207"/>
      <c r="N59" s="207"/>
      <c r="O59" s="208"/>
      <c r="P59" s="214" t="str">
        <f t="shared" si="16"/>
        <v/>
      </c>
    </row>
    <row r="60" spans="2:16" ht="15" customHeight="1" x14ac:dyDescent="0.25">
      <c r="B60" s="77" t="s">
        <v>100</v>
      </c>
      <c r="C60" s="218"/>
      <c r="D60" s="207"/>
      <c r="E60" s="207"/>
      <c r="F60" s="207"/>
      <c r="G60" s="207"/>
      <c r="H60" s="207"/>
      <c r="I60" s="207"/>
      <c r="J60" s="207"/>
      <c r="K60" s="207"/>
      <c r="L60" s="207"/>
      <c r="M60" s="207"/>
      <c r="N60" s="207"/>
      <c r="O60" s="208"/>
      <c r="P60" s="214" t="str">
        <f t="shared" si="16"/>
        <v/>
      </c>
    </row>
    <row r="61" spans="2:16" ht="15" customHeight="1" x14ac:dyDescent="0.25">
      <c r="B61" s="77" t="s">
        <v>104</v>
      </c>
      <c r="C61" s="217">
        <v>-5509.64</v>
      </c>
      <c r="D61" s="207">
        <v>8321.1299999999992</v>
      </c>
      <c r="E61" s="205">
        <v>-161331.68</v>
      </c>
      <c r="F61" s="207">
        <v>-19142.11</v>
      </c>
      <c r="G61" s="207">
        <v>-7196.95</v>
      </c>
      <c r="H61" s="207"/>
      <c r="I61" s="207">
        <v>-19334.72</v>
      </c>
      <c r="J61" s="207"/>
      <c r="K61" s="207"/>
      <c r="L61" s="207"/>
      <c r="M61" s="207"/>
      <c r="N61" s="207"/>
      <c r="O61" s="208"/>
      <c r="P61" s="214">
        <f t="shared" si="16"/>
        <v>1</v>
      </c>
    </row>
    <row r="62" spans="2:16" ht="15" customHeight="1" x14ac:dyDescent="0.25">
      <c r="B62" s="77" t="s">
        <v>105</v>
      </c>
      <c r="C62" s="218">
        <v>187382.15</v>
      </c>
      <c r="D62" s="207">
        <v>712704.65</v>
      </c>
      <c r="E62" s="207">
        <v>460513.44</v>
      </c>
      <c r="F62" s="207">
        <v>5917.85</v>
      </c>
      <c r="G62" s="207">
        <v>1480706.5</v>
      </c>
      <c r="H62" s="207">
        <v>526835.85</v>
      </c>
      <c r="I62" s="207">
        <v>362470.96</v>
      </c>
      <c r="J62" s="207"/>
      <c r="K62" s="207"/>
      <c r="L62" s="207"/>
      <c r="M62" s="207"/>
      <c r="N62" s="207"/>
      <c r="O62" s="208"/>
      <c r="P62" s="214">
        <f t="shared" si="16"/>
        <v>-1</v>
      </c>
    </row>
    <row r="63" spans="2:16" ht="15" customHeight="1" x14ac:dyDescent="0.25">
      <c r="B63" s="79" t="s">
        <v>106</v>
      </c>
      <c r="C63" s="116">
        <f>C50+C56</f>
        <v>181872.50999999998</v>
      </c>
      <c r="D63" s="92">
        <f>D50+D56</f>
        <v>721025.78</v>
      </c>
      <c r="E63" s="92">
        <f>E50+E56</f>
        <v>299181.76</v>
      </c>
      <c r="F63" s="92">
        <f>F50+F56</f>
        <v>-13224.26</v>
      </c>
      <c r="G63" s="92">
        <f t="shared" ref="G63:N63" si="19">G50+G56</f>
        <v>1473509.55</v>
      </c>
      <c r="H63" s="92">
        <f t="shared" si="19"/>
        <v>526835.85</v>
      </c>
      <c r="I63" s="92">
        <f t="shared" si="19"/>
        <v>343136.24</v>
      </c>
      <c r="J63" s="92">
        <f t="shared" si="19"/>
        <v>0</v>
      </c>
      <c r="K63" s="92">
        <f t="shared" si="19"/>
        <v>0</v>
      </c>
      <c r="L63" s="92">
        <f t="shared" si="19"/>
        <v>0</v>
      </c>
      <c r="M63" s="92">
        <f t="shared" si="19"/>
        <v>0</v>
      </c>
      <c r="N63" s="92">
        <f t="shared" si="19"/>
        <v>0</v>
      </c>
      <c r="O63" s="92">
        <f>O50+O56</f>
        <v>0</v>
      </c>
      <c r="P63" s="64">
        <f t="shared" si="16"/>
        <v>1</v>
      </c>
    </row>
    <row r="64" spans="2:16" ht="15" customHeight="1" x14ac:dyDescent="0.25">
      <c r="B64" s="80"/>
      <c r="C64" s="108"/>
      <c r="D64" s="109"/>
      <c r="E64" s="109"/>
      <c r="F64" s="109"/>
      <c r="G64" s="109"/>
      <c r="H64" s="109"/>
      <c r="I64" s="109"/>
      <c r="J64" s="109"/>
      <c r="K64" s="109"/>
      <c r="L64" s="109"/>
      <c r="M64" s="109"/>
      <c r="N64" s="109"/>
      <c r="O64" s="110"/>
      <c r="P64" s="111"/>
    </row>
    <row r="65" spans="2:16" ht="15" customHeight="1" x14ac:dyDescent="0.25">
      <c r="B65" s="79" t="s">
        <v>120</v>
      </c>
      <c r="C65" s="116">
        <f>C48+C63</f>
        <v>-266098.25</v>
      </c>
      <c r="D65" s="92">
        <f>D48+D63</f>
        <v>122990.1100000001</v>
      </c>
      <c r="E65" s="92">
        <f>E48+E63</f>
        <v>-697622.7</v>
      </c>
      <c r="F65" s="92">
        <f>F48+F63</f>
        <v>-1417235.8699999999</v>
      </c>
      <c r="G65" s="92">
        <f t="shared" ref="G65:N65" si="20">G48+G63</f>
        <v>-422637.82999999984</v>
      </c>
      <c r="H65" s="92">
        <f t="shared" si="20"/>
        <v>-1621698.9499999997</v>
      </c>
      <c r="I65" s="92">
        <f t="shared" si="20"/>
        <v>-2635449.33</v>
      </c>
      <c r="J65" s="92">
        <f t="shared" si="20"/>
        <v>-2978585.57</v>
      </c>
      <c r="K65" s="92">
        <f t="shared" si="20"/>
        <v>-2978585.57</v>
      </c>
      <c r="L65" s="92">
        <f t="shared" si="20"/>
        <v>-2978585.57</v>
      </c>
      <c r="M65" s="92">
        <f t="shared" si="20"/>
        <v>-2978585.57</v>
      </c>
      <c r="N65" s="92">
        <f t="shared" si="20"/>
        <v>-2978585.57</v>
      </c>
      <c r="O65" s="92">
        <f>O48+O63</f>
        <v>0</v>
      </c>
      <c r="P65" s="64">
        <f>IFERROR(IF(AND(F65&lt;0,O65&lt;=0),-(O65-F65)/F65,IF(AND(F65&lt;0,O65&gt;0),-(O65-F65)/F65,(O65-F65)/F65)),"")</f>
        <v>1</v>
      </c>
    </row>
    <row r="66" spans="2:16" ht="15" customHeight="1" x14ac:dyDescent="0.25">
      <c r="B66" s="82" t="s">
        <v>121</v>
      </c>
      <c r="C66" s="117">
        <f>C65-C35</f>
        <v>374764.30000000005</v>
      </c>
      <c r="D66" s="94">
        <f>D65-D35</f>
        <v>-447970.75999999989</v>
      </c>
      <c r="E66" s="94">
        <f>E65-E35</f>
        <v>-598035.66999999993</v>
      </c>
      <c r="F66" s="94">
        <f>F65-F35</f>
        <v>-996804.46</v>
      </c>
      <c r="G66" s="94">
        <f t="shared" ref="G66:N66" si="21">G65-G35</f>
        <v>-1401989.21</v>
      </c>
      <c r="H66" s="94">
        <f t="shared" si="21"/>
        <v>-1896147.1599999997</v>
      </c>
      <c r="I66" s="94">
        <f t="shared" si="21"/>
        <v>-2250061.16</v>
      </c>
      <c r="J66" s="94">
        <f t="shared" si="21"/>
        <v>-2978585.57</v>
      </c>
      <c r="K66" s="94">
        <f t="shared" si="21"/>
        <v>-2978585.57</v>
      </c>
      <c r="L66" s="94">
        <f t="shared" si="21"/>
        <v>-2978585.57</v>
      </c>
      <c r="M66" s="94">
        <f t="shared" si="21"/>
        <v>-2978585.57</v>
      </c>
      <c r="N66" s="94">
        <f t="shared" si="21"/>
        <v>-2978585.57</v>
      </c>
      <c r="O66" s="94">
        <f>O65-O35</f>
        <v>0</v>
      </c>
      <c r="P66" s="65"/>
    </row>
    <row r="67" spans="2:16" ht="15" customHeight="1" x14ac:dyDescent="0.25"/>
    <row r="68" spans="2:16" ht="15" customHeight="1" x14ac:dyDescent="0.25"/>
    <row r="69" spans="2:16" ht="15" customHeight="1" x14ac:dyDescent="0.25"/>
    <row r="70" spans="2:16" ht="21.75" customHeight="1" x14ac:dyDescent="0.25">
      <c r="B70" s="370" t="s">
        <v>122</v>
      </c>
      <c r="C70" s="371"/>
      <c r="D70" s="371"/>
      <c r="E70" s="371"/>
      <c r="F70" s="371"/>
      <c r="G70" s="371"/>
      <c r="H70" s="371"/>
      <c r="I70" s="371"/>
      <c r="J70" s="371"/>
      <c r="K70" s="371"/>
      <c r="L70" s="371"/>
      <c r="M70" s="371"/>
      <c r="N70" s="371"/>
      <c r="O70" s="371"/>
      <c r="P70" s="372"/>
    </row>
    <row r="71" spans="2:16" ht="15" customHeight="1" x14ac:dyDescent="0.25">
      <c r="O71" s="122" t="s">
        <v>432</v>
      </c>
      <c r="P71" s="121" t="str">
        <f>IF(COVER!$K$6&lt;&gt;"",CONCATENATE("milhares ",COVER!$K$6),"")</f>
        <v>milhares MZN</v>
      </c>
    </row>
    <row r="72" spans="2:16" s="31" customFormat="1" ht="31.5" customHeight="1" x14ac:dyDescent="0.25">
      <c r="B72" s="32"/>
      <c r="C72" s="49" t="str">
        <f>C12</f>
        <v>JAN</v>
      </c>
      <c r="D72" s="49" t="str">
        <f t="shared" ref="D72:N72" si="22">D12</f>
        <v>FEV</v>
      </c>
      <c r="E72" s="49" t="str">
        <f t="shared" si="22"/>
        <v>MARCH</v>
      </c>
      <c r="F72" s="49" t="str">
        <f t="shared" si="22"/>
        <v>APRIL</v>
      </c>
      <c r="G72" s="49" t="str">
        <f t="shared" si="22"/>
        <v>MAY</v>
      </c>
      <c r="H72" s="49" t="str">
        <f t="shared" si="22"/>
        <v>JUNE</v>
      </c>
      <c r="I72" s="49" t="str">
        <f t="shared" si="22"/>
        <v>JULY</v>
      </c>
      <c r="J72" s="49" t="str">
        <f t="shared" si="22"/>
        <v>AUGUST</v>
      </c>
      <c r="K72" s="49" t="str">
        <f t="shared" si="22"/>
        <v>SEPTEMBER</v>
      </c>
      <c r="L72" s="49" t="str">
        <f t="shared" si="22"/>
        <v>OCTOBER</v>
      </c>
      <c r="M72" s="49" t="str">
        <f t="shared" si="22"/>
        <v>NOVEMBER</v>
      </c>
      <c r="N72" s="49" t="str">
        <f t="shared" si="22"/>
        <v>DEZEMBER</v>
      </c>
      <c r="O72" s="55">
        <f>$E$3</f>
        <v>2022</v>
      </c>
      <c r="P72" s="66" t="str">
        <f>IF(AND(F72&lt;&gt;"",O72&lt;&gt;""),CONCATENATE("Variação % (",O72,"/",F72,")"),"")</f>
        <v>Variação % (2022/APRIL)</v>
      </c>
    </row>
    <row r="73" spans="2:16" ht="15" customHeight="1" x14ac:dyDescent="0.25"/>
    <row r="74" spans="2:16" ht="15" customHeight="1" x14ac:dyDescent="0.25">
      <c r="B74" s="48" t="s">
        <v>123</v>
      </c>
      <c r="C74" s="224">
        <f>'DETALHE GANHOS E GASTOS MENSAL'!D131+'DETALHE GANHOS E GASTOS MENSAL'!D143</f>
        <v>0</v>
      </c>
      <c r="D74" s="224">
        <f>'DETALHE GANHOS E GASTOS MENSAL'!E131+'DETALHE GANHOS E GASTOS MENSAL'!E143</f>
        <v>0</v>
      </c>
      <c r="E74" s="224">
        <f>'DETALHE GANHOS E GASTOS MENSAL'!F131+'DETALHE GANHOS E GASTOS MENSAL'!F143</f>
        <v>0</v>
      </c>
      <c r="F74" s="224">
        <f>'DETALHE GANHOS E GASTOS MENSAL'!G131+'DETALHE GANHOS E GASTOS MENSAL'!G143</f>
        <v>0</v>
      </c>
      <c r="G74" s="224">
        <f>'DETALHE GANHOS E GASTOS MENSAL'!H131+'DETALHE GANHOS E GASTOS MENSAL'!H143</f>
        <v>0</v>
      </c>
      <c r="H74" s="224">
        <f>'DETALHE GANHOS E GASTOS MENSAL'!I131+'DETALHE GANHOS E GASTOS MENSAL'!I143</f>
        <v>0</v>
      </c>
      <c r="I74" s="224">
        <f>'DETALHE GANHOS E GASTOS MENSAL'!J131+'DETALHE GANHOS E GASTOS MENSAL'!J143</f>
        <v>0</v>
      </c>
      <c r="J74" s="224">
        <f>'DETALHE GANHOS E GASTOS MENSAL'!K131+'DETALHE GANHOS E GASTOS MENSAL'!K143</f>
        <v>0</v>
      </c>
      <c r="K74" s="224">
        <f>'DETALHE GANHOS E GASTOS MENSAL'!L131+'DETALHE GANHOS E GASTOS MENSAL'!L143</f>
        <v>0</v>
      </c>
      <c r="L74" s="224">
        <f>'DETALHE GANHOS E GASTOS MENSAL'!M131+'DETALHE GANHOS E GASTOS MENSAL'!M143</f>
        <v>0</v>
      </c>
      <c r="M74" s="224">
        <f>'DETALHE GANHOS E GASTOS MENSAL'!N131+'DETALHE GANHOS E GASTOS MENSAL'!N143</f>
        <v>0</v>
      </c>
      <c r="N74" s="224">
        <f>'DETALHE GANHOS E GASTOS MENSAL'!O131+'DETALHE GANHOS E GASTOS MENSAL'!O143</f>
        <v>0</v>
      </c>
      <c r="O74" s="88">
        <f>SUM(C74:N74)</f>
        <v>0</v>
      </c>
      <c r="P74" s="214" t="str">
        <f t="shared" ref="P74:P87" si="23">IFERROR(IF(AND(F74&lt;0,O74&lt;=0),-(O74-F74)/F74,IF(AND(F74&lt;0,O74&gt;0),-(O74-F74)/F74,(O74-F74)/F74)),"")</f>
        <v/>
      </c>
    </row>
    <row r="75" spans="2:16" ht="15" customHeight="1" x14ac:dyDescent="0.25">
      <c r="B75" s="48" t="s">
        <v>124</v>
      </c>
      <c r="C75" s="224">
        <f>-'DETALHE GANHOS E GASTOS MENSAL'!D14</f>
        <v>0</v>
      </c>
      <c r="D75" s="224">
        <f>-'DETALHE GANHOS E GASTOS MENSAL'!E14</f>
        <v>0</v>
      </c>
      <c r="E75" s="224">
        <f>-'DETALHE GANHOS E GASTOS MENSAL'!F14</f>
        <v>0</v>
      </c>
      <c r="F75" s="224">
        <f>-'DETALHE GANHOS E GASTOS MENSAL'!G14</f>
        <v>0</v>
      </c>
      <c r="G75" s="224">
        <f>-'DETALHE GANHOS E GASTOS MENSAL'!H14</f>
        <v>0</v>
      </c>
      <c r="H75" s="224">
        <f>-'DETALHE GANHOS E GASTOS MENSAL'!I14</f>
        <v>0</v>
      </c>
      <c r="I75" s="224">
        <f>-'DETALHE GANHOS E GASTOS MENSAL'!J14</f>
        <v>0</v>
      </c>
      <c r="J75" s="224">
        <f>-'DETALHE GANHOS E GASTOS MENSAL'!K14</f>
        <v>0</v>
      </c>
      <c r="K75" s="224">
        <f>-'DETALHE GANHOS E GASTOS MENSAL'!L14</f>
        <v>0</v>
      </c>
      <c r="L75" s="224">
        <f>-'DETALHE GANHOS E GASTOS MENSAL'!M14</f>
        <v>0</v>
      </c>
      <c r="M75" s="224">
        <f>-'DETALHE GANHOS E GASTOS MENSAL'!N14</f>
        <v>0</v>
      </c>
      <c r="N75" s="224">
        <f>-'DETALHE GANHOS E GASTOS MENSAL'!O14</f>
        <v>0</v>
      </c>
      <c r="O75" s="88">
        <f t="shared" ref="O75:O81" si="24">SUM(C75:N75)</f>
        <v>0</v>
      </c>
      <c r="P75" s="214" t="str">
        <f t="shared" si="23"/>
        <v/>
      </c>
    </row>
    <row r="76" spans="2:16" ht="15" customHeight="1" x14ac:dyDescent="0.25">
      <c r="B76" s="48" t="s">
        <v>125</v>
      </c>
      <c r="C76" s="224">
        <f>-'DETALHE GANHOS E GASTOS MENSAL'!D18</f>
        <v>-101526.36</v>
      </c>
      <c r="D76" s="224">
        <f>-'DETALHE GANHOS E GASTOS MENSAL'!E18</f>
        <v>-101526.36</v>
      </c>
      <c r="E76" s="224">
        <f>-'DETALHE GANHOS E GASTOS MENSAL'!F18</f>
        <v>-101526.36</v>
      </c>
      <c r="F76" s="224">
        <f>-'DETALHE GANHOS E GASTOS MENSAL'!G18</f>
        <v>-101526.36</v>
      </c>
      <c r="G76" s="224">
        <f>-'DETALHE GANHOS E GASTOS MENSAL'!H18</f>
        <v>-101526.36</v>
      </c>
      <c r="H76" s="224">
        <f>-'DETALHE GANHOS E GASTOS MENSAL'!I18</f>
        <v>-101526.36</v>
      </c>
      <c r="I76" s="224">
        <f>-'DETALHE GANHOS E GASTOS MENSAL'!J18</f>
        <v>-101526.36</v>
      </c>
      <c r="J76" s="224">
        <f>-'DETALHE GANHOS E GASTOS MENSAL'!K18</f>
        <v>0</v>
      </c>
      <c r="K76" s="224">
        <f>-'DETALHE GANHOS E GASTOS MENSAL'!L18</f>
        <v>0</v>
      </c>
      <c r="L76" s="224">
        <f>-'DETALHE GANHOS E GASTOS MENSAL'!M18</f>
        <v>0</v>
      </c>
      <c r="M76" s="224">
        <f>-'DETALHE GANHOS E GASTOS MENSAL'!N18</f>
        <v>0</v>
      </c>
      <c r="N76" s="224">
        <f>-'DETALHE GANHOS E GASTOS MENSAL'!O18</f>
        <v>0</v>
      </c>
      <c r="O76" s="88">
        <f t="shared" si="24"/>
        <v>-710684.52</v>
      </c>
      <c r="P76" s="214">
        <f t="shared" si="23"/>
        <v>-6</v>
      </c>
    </row>
    <row r="77" spans="2:16" ht="15" customHeight="1" x14ac:dyDescent="0.25">
      <c r="B77" s="48" t="s">
        <v>126</v>
      </c>
      <c r="C77" s="224">
        <f>-'DETALHE GANHOS E GASTOS MENSAL'!D30</f>
        <v>-332655.42</v>
      </c>
      <c r="D77" s="224">
        <f>-'DETALHE GANHOS E GASTOS MENSAL'!E30</f>
        <v>-35275.619999999995</v>
      </c>
      <c r="E77" s="224">
        <f>-'DETALHE GANHOS E GASTOS MENSAL'!F30</f>
        <v>-294862.99</v>
      </c>
      <c r="F77" s="224">
        <f>-'DETALHE GANHOS E GASTOS MENSAL'!G30</f>
        <v>-304995</v>
      </c>
      <c r="G77" s="224">
        <f>-'DETALHE GANHOS E GASTOS MENSAL'!H30</f>
        <v>-387095.05</v>
      </c>
      <c r="H77" s="224">
        <f>-'DETALHE GANHOS E GASTOS MENSAL'!I30</f>
        <v>-150000</v>
      </c>
      <c r="I77" s="224">
        <f>-'DETALHE GANHOS E GASTOS MENSAL'!J30</f>
        <v>-727295.81</v>
      </c>
      <c r="J77" s="224">
        <f>-'DETALHE GANHOS E GASTOS MENSAL'!K30</f>
        <v>0</v>
      </c>
      <c r="K77" s="224">
        <f>-'DETALHE GANHOS E GASTOS MENSAL'!L30</f>
        <v>0</v>
      </c>
      <c r="L77" s="224">
        <f>-'DETALHE GANHOS E GASTOS MENSAL'!M30</f>
        <v>0</v>
      </c>
      <c r="M77" s="224">
        <f>-'DETALHE GANHOS E GASTOS MENSAL'!N30</f>
        <v>0</v>
      </c>
      <c r="N77" s="224">
        <f>-'DETALHE GANHOS E GASTOS MENSAL'!O30</f>
        <v>0</v>
      </c>
      <c r="O77" s="88">
        <f t="shared" si="24"/>
        <v>-2232179.89</v>
      </c>
      <c r="P77" s="214">
        <f t="shared" si="23"/>
        <v>-6.318742569550321</v>
      </c>
    </row>
    <row r="78" spans="2:16" ht="15" customHeight="1" x14ac:dyDescent="0.25">
      <c r="B78" s="48" t="s">
        <v>127</v>
      </c>
      <c r="C78" s="224">
        <f>-'DETALHE GANHOS E GASTOS MENSAL'!D75</f>
        <v>0</v>
      </c>
      <c r="D78" s="224">
        <f>-'DETALHE GANHOS E GASTOS MENSAL'!E75</f>
        <v>0</v>
      </c>
      <c r="E78" s="224">
        <f>-'DETALHE GANHOS E GASTOS MENSAL'!F75</f>
        <v>0</v>
      </c>
      <c r="F78" s="224">
        <f>-'DETALHE GANHOS E GASTOS MENSAL'!G75</f>
        <v>0</v>
      </c>
      <c r="G78" s="224">
        <f>-'DETALHE GANHOS E GASTOS MENSAL'!H75</f>
        <v>0</v>
      </c>
      <c r="H78" s="224">
        <f>-'DETALHE GANHOS E GASTOS MENSAL'!I75</f>
        <v>0</v>
      </c>
      <c r="I78" s="224">
        <f>-'DETALHE GANHOS E GASTOS MENSAL'!J75</f>
        <v>0</v>
      </c>
      <c r="J78" s="224">
        <f>-'DETALHE GANHOS E GASTOS MENSAL'!K75</f>
        <v>0</v>
      </c>
      <c r="K78" s="224">
        <f>-'DETALHE GANHOS E GASTOS MENSAL'!L75</f>
        <v>0</v>
      </c>
      <c r="L78" s="224">
        <f>-'DETALHE GANHOS E GASTOS MENSAL'!M75</f>
        <v>0</v>
      </c>
      <c r="M78" s="224">
        <f>-'DETALHE GANHOS E GASTOS MENSAL'!N75</f>
        <v>0</v>
      </c>
      <c r="N78" s="224">
        <f>-'DETALHE GANHOS E GASTOS MENSAL'!O75</f>
        <v>0</v>
      </c>
      <c r="O78" s="88">
        <f t="shared" si="24"/>
        <v>0</v>
      </c>
      <c r="P78" s="214" t="str">
        <f t="shared" si="23"/>
        <v/>
      </c>
    </row>
    <row r="79" spans="2:16" ht="15" customHeight="1" x14ac:dyDescent="0.25">
      <c r="B79" s="48" t="s">
        <v>128</v>
      </c>
      <c r="C79" s="224">
        <f>-'DETALHE GANHOS E GASTOS MENSAL'!D82</f>
        <v>0</v>
      </c>
      <c r="D79" s="224">
        <f>-'DETALHE GANHOS E GASTOS MENSAL'!E82</f>
        <v>0</v>
      </c>
      <c r="E79" s="224">
        <f>-'DETALHE GANHOS E GASTOS MENSAL'!F82</f>
        <v>0</v>
      </c>
      <c r="F79" s="224">
        <f>-'DETALHE GANHOS E GASTOS MENSAL'!G82</f>
        <v>0</v>
      </c>
      <c r="G79" s="224">
        <f>-'DETALHE GANHOS E GASTOS MENSAL'!H82</f>
        <v>0</v>
      </c>
      <c r="H79" s="224">
        <f>-'DETALHE GANHOS E GASTOS MENSAL'!I82</f>
        <v>0</v>
      </c>
      <c r="I79" s="224">
        <f>-'DETALHE GANHOS E GASTOS MENSAL'!J82</f>
        <v>0</v>
      </c>
      <c r="J79" s="224">
        <f>-'DETALHE GANHOS E GASTOS MENSAL'!K82</f>
        <v>0</v>
      </c>
      <c r="K79" s="224">
        <f>-'DETALHE GANHOS E GASTOS MENSAL'!L82</f>
        <v>0</v>
      </c>
      <c r="L79" s="224">
        <f>-'DETALHE GANHOS E GASTOS MENSAL'!M82</f>
        <v>0</v>
      </c>
      <c r="M79" s="224">
        <f>-'DETALHE GANHOS E GASTOS MENSAL'!N82</f>
        <v>0</v>
      </c>
      <c r="N79" s="224">
        <f>-'DETALHE GANHOS E GASTOS MENSAL'!O82</f>
        <v>0</v>
      </c>
      <c r="O79" s="88">
        <f t="shared" si="24"/>
        <v>0</v>
      </c>
      <c r="P79" s="214" t="str">
        <f t="shared" si="23"/>
        <v/>
      </c>
    </row>
    <row r="80" spans="2:16" ht="15" customHeight="1" x14ac:dyDescent="0.25">
      <c r="B80" s="48" t="s">
        <v>129</v>
      </c>
      <c r="C80" s="224">
        <f>'DETALHE GANHOS E GASTOS MENSAL'!D203-'DETALHE GANHOS E GASTOS MENSAL'!D94</f>
        <v>0</v>
      </c>
      <c r="D80" s="224">
        <f>'DETALHE GANHOS E GASTOS MENSAL'!E203-'DETALHE GANHOS E GASTOS MENSAL'!E94</f>
        <v>0</v>
      </c>
      <c r="E80" s="224">
        <f>'DETALHE GANHOS E GASTOS MENSAL'!F203-'DETALHE GANHOS E GASTOS MENSAL'!F94</f>
        <v>0</v>
      </c>
      <c r="F80" s="224">
        <f>'DETALHE GANHOS E GASTOS MENSAL'!G203-'DETALHE GANHOS E GASTOS MENSAL'!G94</f>
        <v>0</v>
      </c>
      <c r="G80" s="224">
        <f>'DETALHE GANHOS E GASTOS MENSAL'!H203-'DETALHE GANHOS E GASTOS MENSAL'!H94</f>
        <v>0</v>
      </c>
      <c r="H80" s="224">
        <f>'DETALHE GANHOS E GASTOS MENSAL'!I203-'DETALHE GANHOS E GASTOS MENSAL'!I94</f>
        <v>0</v>
      </c>
      <c r="I80" s="224">
        <f>'DETALHE GANHOS E GASTOS MENSAL'!J203-'DETALHE GANHOS E GASTOS MENSAL'!J94</f>
        <v>0</v>
      </c>
      <c r="J80" s="224">
        <f>'DETALHE GANHOS E GASTOS MENSAL'!K203-'DETALHE GANHOS E GASTOS MENSAL'!K94</f>
        <v>0</v>
      </c>
      <c r="K80" s="224">
        <f>'DETALHE GANHOS E GASTOS MENSAL'!L203-'DETALHE GANHOS E GASTOS MENSAL'!L94</f>
        <v>0</v>
      </c>
      <c r="L80" s="224">
        <f>'DETALHE GANHOS E GASTOS MENSAL'!M203-'DETALHE GANHOS E GASTOS MENSAL'!M94</f>
        <v>0</v>
      </c>
      <c r="M80" s="224">
        <f>'DETALHE GANHOS E GASTOS MENSAL'!N203-'DETALHE GANHOS E GASTOS MENSAL'!N94</f>
        <v>0</v>
      </c>
      <c r="N80" s="224">
        <f>'DETALHE GANHOS E GASTOS MENSAL'!O203-'DETALHE GANHOS E GASTOS MENSAL'!O94</f>
        <v>0</v>
      </c>
      <c r="O80" s="88">
        <f t="shared" si="24"/>
        <v>0</v>
      </c>
      <c r="P80" s="214" t="str">
        <f t="shared" si="23"/>
        <v/>
      </c>
    </row>
    <row r="81" spans="2:16" ht="15" customHeight="1" x14ac:dyDescent="0.25">
      <c r="B81" s="48" t="s">
        <v>130</v>
      </c>
      <c r="C81" s="224">
        <f>'DETALHE GANHOS E GASTOS MENSAL'!D153+'DETALHE GANHOS E GASTOS MENSAL'!D161+'DETALHE GANHOS E GASTOS MENSAL'!D167+'DETALHE GANHOS E GASTOS MENSAL'!D179-'DETALHE GANHOS E GASTOS MENSAL'!D67-'DETALHE GANHOS E GASTOS MENSAL'!D101</f>
        <v>0</v>
      </c>
      <c r="D81" s="224">
        <f>'DETALHE GANHOS E GASTOS MENSAL'!E153+'DETALHE GANHOS E GASTOS MENSAL'!E161+'DETALHE GANHOS E GASTOS MENSAL'!E167+'DETALHE GANHOS E GASTOS MENSAL'!E179-'DETALHE GANHOS E GASTOS MENSAL'!E67-'DETALHE GANHOS E GASTOS MENSAL'!E101</f>
        <v>0</v>
      </c>
      <c r="E81" s="224">
        <f>'DETALHE GANHOS E GASTOS MENSAL'!F153+'DETALHE GANHOS E GASTOS MENSAL'!F161+'DETALHE GANHOS E GASTOS MENSAL'!F167+'DETALHE GANHOS E GASTOS MENSAL'!F179-'DETALHE GANHOS E GASTOS MENSAL'!F67-'DETALHE GANHOS E GASTOS MENSAL'!F101</f>
        <v>0</v>
      </c>
      <c r="F81" s="224">
        <f>'DETALHE GANHOS E GASTOS MENSAL'!G153+'DETALHE GANHOS E GASTOS MENSAL'!G161+'DETALHE GANHOS E GASTOS MENSAL'!G167+'DETALHE GANHOS E GASTOS MENSAL'!G179-'DETALHE GANHOS E GASTOS MENSAL'!G67-'DETALHE GANHOS E GASTOS MENSAL'!G101</f>
        <v>0</v>
      </c>
      <c r="G81" s="224">
        <f>'DETALHE GANHOS E GASTOS MENSAL'!H153+'DETALHE GANHOS E GASTOS MENSAL'!H161+'DETALHE GANHOS E GASTOS MENSAL'!H167+'DETALHE GANHOS E GASTOS MENSAL'!H179-'DETALHE GANHOS E GASTOS MENSAL'!H67-'DETALHE GANHOS E GASTOS MENSAL'!H101</f>
        <v>-288</v>
      </c>
      <c r="H81" s="224">
        <f>'DETALHE GANHOS E GASTOS MENSAL'!I153+'DETALHE GANHOS E GASTOS MENSAL'!I161+'DETALHE GANHOS E GASTOS MENSAL'!I167+'DETALHE GANHOS E GASTOS MENSAL'!I179-'DETALHE GANHOS E GASTOS MENSAL'!I67-'DETALHE GANHOS E GASTOS MENSAL'!I101</f>
        <v>0</v>
      </c>
      <c r="I81" s="224">
        <f>'DETALHE GANHOS E GASTOS MENSAL'!J153+'DETALHE GANHOS E GASTOS MENSAL'!J161+'DETALHE GANHOS E GASTOS MENSAL'!J167+'DETALHE GANHOS E GASTOS MENSAL'!J179-'DETALHE GANHOS E GASTOS MENSAL'!J67-'DETALHE GANHOS E GASTOS MENSAL'!J101</f>
        <v>0</v>
      </c>
      <c r="J81" s="224">
        <f>'DETALHE GANHOS E GASTOS MENSAL'!K153+'DETALHE GANHOS E GASTOS MENSAL'!K161+'DETALHE GANHOS E GASTOS MENSAL'!K167+'DETALHE GANHOS E GASTOS MENSAL'!K179-'DETALHE GANHOS E GASTOS MENSAL'!K67-'DETALHE GANHOS E GASTOS MENSAL'!K101</f>
        <v>0</v>
      </c>
      <c r="K81" s="224">
        <f>'DETALHE GANHOS E GASTOS MENSAL'!L153+'DETALHE GANHOS E GASTOS MENSAL'!L161+'DETALHE GANHOS E GASTOS MENSAL'!L167+'DETALHE GANHOS E GASTOS MENSAL'!L179-'DETALHE GANHOS E GASTOS MENSAL'!L67-'DETALHE GANHOS E GASTOS MENSAL'!L101</f>
        <v>0</v>
      </c>
      <c r="L81" s="224">
        <f>'DETALHE GANHOS E GASTOS MENSAL'!M153+'DETALHE GANHOS E GASTOS MENSAL'!M161+'DETALHE GANHOS E GASTOS MENSAL'!M167+'DETALHE GANHOS E GASTOS MENSAL'!M179-'DETALHE GANHOS E GASTOS MENSAL'!M67-'DETALHE GANHOS E GASTOS MENSAL'!M101</f>
        <v>0</v>
      </c>
      <c r="M81" s="224">
        <f>'DETALHE GANHOS E GASTOS MENSAL'!N153+'DETALHE GANHOS E GASTOS MENSAL'!N161+'DETALHE GANHOS E GASTOS MENSAL'!N167+'DETALHE GANHOS E GASTOS MENSAL'!N179-'DETALHE GANHOS E GASTOS MENSAL'!N67-'DETALHE GANHOS E GASTOS MENSAL'!N101</f>
        <v>0</v>
      </c>
      <c r="N81" s="224">
        <f>'DETALHE GANHOS E GASTOS MENSAL'!O153+'DETALHE GANHOS E GASTOS MENSAL'!O161+'DETALHE GANHOS E GASTOS MENSAL'!O167+'DETALHE GANHOS E GASTOS MENSAL'!O179-'DETALHE GANHOS E GASTOS MENSAL'!O67-'DETALHE GANHOS E GASTOS MENSAL'!O101</f>
        <v>0</v>
      </c>
      <c r="O81" s="88">
        <f t="shared" si="24"/>
        <v>-288</v>
      </c>
      <c r="P81" s="214" t="str">
        <f t="shared" si="23"/>
        <v/>
      </c>
    </row>
    <row r="82" spans="2:16" ht="15" customHeight="1" x14ac:dyDescent="0.25">
      <c r="B82" s="53" t="s">
        <v>131</v>
      </c>
      <c r="C82" s="211">
        <f>SUM(C74:C81)</f>
        <v>-434181.77999999997</v>
      </c>
      <c r="D82" s="211">
        <f>SUM(D74:D81)</f>
        <v>-136801.97999999998</v>
      </c>
      <c r="E82" s="211">
        <f>SUM(E74:E81)</f>
        <v>-396389.35</v>
      </c>
      <c r="F82" s="211">
        <f>SUM(F74:F81)</f>
        <v>-406521.36</v>
      </c>
      <c r="G82" s="211">
        <f t="shared" ref="G82:N82" si="25">SUM(G74:G81)</f>
        <v>-488909.41</v>
      </c>
      <c r="H82" s="211">
        <f t="shared" si="25"/>
        <v>-251526.36</v>
      </c>
      <c r="I82" s="211">
        <f t="shared" si="25"/>
        <v>-828822.17</v>
      </c>
      <c r="J82" s="211">
        <f t="shared" si="25"/>
        <v>0</v>
      </c>
      <c r="K82" s="211">
        <f t="shared" si="25"/>
        <v>0</v>
      </c>
      <c r="L82" s="211">
        <f t="shared" si="25"/>
        <v>0</v>
      </c>
      <c r="M82" s="211">
        <f t="shared" si="25"/>
        <v>0</v>
      </c>
      <c r="N82" s="211">
        <f t="shared" si="25"/>
        <v>0</v>
      </c>
      <c r="O82" s="90">
        <f>SUM(O74:O81)</f>
        <v>-2943152.41</v>
      </c>
      <c r="P82" s="212">
        <f t="shared" si="23"/>
        <v>-6.2398469049695207</v>
      </c>
    </row>
    <row r="83" spans="2:16" ht="15" customHeight="1" x14ac:dyDescent="0.25">
      <c r="B83" s="48" t="s">
        <v>132</v>
      </c>
      <c r="C83" s="224">
        <f>'DETALHE GANHOS E GASTOS MENSAL'!D191</f>
        <v>0</v>
      </c>
      <c r="D83" s="224">
        <f>'DETALHE GANHOS E GASTOS MENSAL'!E191</f>
        <v>8.69</v>
      </c>
      <c r="E83" s="224">
        <f>'DETALHE GANHOS E GASTOS MENSAL'!F191</f>
        <v>200</v>
      </c>
      <c r="F83" s="224">
        <f>'DETALHE GANHOS E GASTOS MENSAL'!G191</f>
        <v>80.05</v>
      </c>
      <c r="G83" s="224">
        <f>'DETALHE GANHOS E GASTOS MENSAL'!H191</f>
        <v>19.55</v>
      </c>
      <c r="H83" s="224">
        <f>'DETALHE GANHOS E GASTOS MENSAL'!I191</f>
        <v>364.87</v>
      </c>
      <c r="I83" s="224">
        <f>'DETALHE GANHOS E GASTOS MENSAL'!J191</f>
        <v>0</v>
      </c>
      <c r="J83" s="224">
        <f>'DETALHE GANHOS E GASTOS MENSAL'!K191</f>
        <v>0</v>
      </c>
      <c r="K83" s="224">
        <f>'DETALHE GANHOS E GASTOS MENSAL'!L191</f>
        <v>0</v>
      </c>
      <c r="L83" s="224">
        <f>'DETALHE GANHOS E GASTOS MENSAL'!M191</f>
        <v>0</v>
      </c>
      <c r="M83" s="224">
        <f>'DETALHE GANHOS E GASTOS MENSAL'!N191</f>
        <v>0</v>
      </c>
      <c r="N83" s="224">
        <f>'DETALHE GANHOS E GASTOS MENSAL'!O191</f>
        <v>0</v>
      </c>
      <c r="O83" s="88">
        <f>SUM(C83:N83)</f>
        <v>673.16000000000008</v>
      </c>
      <c r="P83" s="214">
        <f t="shared" si="23"/>
        <v>7.4092442223610266</v>
      </c>
    </row>
    <row r="84" spans="2:16" ht="15" customHeight="1" x14ac:dyDescent="0.25">
      <c r="B84" s="48" t="s">
        <v>133</v>
      </c>
      <c r="C84" s="224">
        <f>-'DETALHE GANHOS E GASTOS MENSAL'!D113</f>
        <v>-13788.980000000001</v>
      </c>
      <c r="D84" s="224">
        <f>-'DETALHE GANHOS E GASTOS MENSAL'!E113</f>
        <v>-13271.62</v>
      </c>
      <c r="E84" s="224">
        <f>-'DETALHE GANHOS E GASTOS MENSAL'!F113</f>
        <v>-2579.44</v>
      </c>
      <c r="F84" s="224">
        <f>-'DETALHE GANHOS E GASTOS MENSAL'!G113</f>
        <v>-765.84</v>
      </c>
      <c r="G84" s="224">
        <f>-'DETALHE GANHOS E GASTOS MENSAL'!H113</f>
        <v>-3245.91</v>
      </c>
      <c r="H84" s="224">
        <f>-'DETALHE GANHOS E GASTOS MENSAL'!I113</f>
        <v>-1225.93</v>
      </c>
      <c r="I84" s="224">
        <f>-'DETALHE GANHOS E GASTOS MENSAL'!J113</f>
        <v>-1228.5999999999999</v>
      </c>
      <c r="J84" s="224">
        <f>-'DETALHE GANHOS E GASTOS MENSAL'!K113</f>
        <v>0</v>
      </c>
      <c r="K84" s="224">
        <f>-'DETALHE GANHOS E GASTOS MENSAL'!L113</f>
        <v>0</v>
      </c>
      <c r="L84" s="224">
        <f>-'DETALHE GANHOS E GASTOS MENSAL'!M113</f>
        <v>0</v>
      </c>
      <c r="M84" s="224">
        <f>-'DETALHE GANHOS E GASTOS MENSAL'!N113</f>
        <v>0</v>
      </c>
      <c r="N84" s="224">
        <f>-'DETALHE GANHOS E GASTOS MENSAL'!O113</f>
        <v>0</v>
      </c>
      <c r="O84" s="88">
        <f>SUM(C84:N84)</f>
        <v>-36106.32</v>
      </c>
      <c r="P84" s="214">
        <f t="shared" si="23"/>
        <v>-46.146035725477908</v>
      </c>
    </row>
    <row r="85" spans="2:16" ht="15" customHeight="1" x14ac:dyDescent="0.25">
      <c r="B85" s="53" t="s">
        <v>134</v>
      </c>
      <c r="C85" s="211">
        <f>C82+SUM(C83:C84)</f>
        <v>-447970.75999999995</v>
      </c>
      <c r="D85" s="211">
        <f>D82+SUM(D83:D84)</f>
        <v>-150064.90999999997</v>
      </c>
      <c r="E85" s="211">
        <f>E82+SUM(E83:E84)</f>
        <v>-398768.79</v>
      </c>
      <c r="F85" s="211">
        <f>F82+SUM(F83:F84)</f>
        <v>-407207.14999999997</v>
      </c>
      <c r="G85" s="211">
        <f t="shared" ref="G85:N85" si="26">G82+SUM(G83:G84)</f>
        <v>-492135.76999999996</v>
      </c>
      <c r="H85" s="211">
        <f t="shared" si="26"/>
        <v>-252387.41999999998</v>
      </c>
      <c r="I85" s="211">
        <f t="shared" si="26"/>
        <v>-830050.77</v>
      </c>
      <c r="J85" s="211">
        <f t="shared" si="26"/>
        <v>0</v>
      </c>
      <c r="K85" s="211">
        <f t="shared" si="26"/>
        <v>0</v>
      </c>
      <c r="L85" s="211">
        <f t="shared" si="26"/>
        <v>0</v>
      </c>
      <c r="M85" s="211">
        <f t="shared" si="26"/>
        <v>0</v>
      </c>
      <c r="N85" s="211">
        <f t="shared" si="26"/>
        <v>0</v>
      </c>
      <c r="O85" s="90">
        <f>O82+SUM(O83:O84)</f>
        <v>-2978585.5700000003</v>
      </c>
      <c r="P85" s="212">
        <f t="shared" si="23"/>
        <v>-6.3146691309325007</v>
      </c>
    </row>
    <row r="86" spans="2:16" ht="15" customHeight="1" x14ac:dyDescent="0.25">
      <c r="B86" s="48" t="s">
        <v>135</v>
      </c>
      <c r="C86" s="224">
        <f>'DETALHE GANHOS E GASTOS MENSAL'!D219</f>
        <v>0</v>
      </c>
      <c r="D86" s="224">
        <f>'DETALHE GANHOS E GASTOS MENSAL'!E219</f>
        <v>0</v>
      </c>
      <c r="E86" s="224">
        <f>'DETALHE GANHOS E GASTOS MENSAL'!F219</f>
        <v>0</v>
      </c>
      <c r="F86" s="224">
        <f>'DETALHE GANHOS E GASTOS MENSAL'!G219</f>
        <v>0</v>
      </c>
      <c r="G86" s="224">
        <f>'DETALHE GANHOS E GASTOS MENSAL'!H219</f>
        <v>0</v>
      </c>
      <c r="H86" s="224">
        <f>'DETALHE GANHOS E GASTOS MENSAL'!I219</f>
        <v>0</v>
      </c>
      <c r="I86" s="224">
        <f>'DETALHE GANHOS E GASTOS MENSAL'!J219</f>
        <v>0</v>
      </c>
      <c r="J86" s="224">
        <f>'DETALHE GANHOS E GASTOS MENSAL'!K219</f>
        <v>0</v>
      </c>
      <c r="K86" s="224">
        <f>'DETALHE GANHOS E GASTOS MENSAL'!L219</f>
        <v>0</v>
      </c>
      <c r="L86" s="224">
        <f>'DETALHE GANHOS E GASTOS MENSAL'!M219</f>
        <v>0</v>
      </c>
      <c r="M86" s="224">
        <f>'DETALHE GANHOS E GASTOS MENSAL'!N219</f>
        <v>0</v>
      </c>
      <c r="N86" s="224">
        <f>'DETALHE GANHOS E GASTOS MENSAL'!O219</f>
        <v>0</v>
      </c>
      <c r="O86" s="88">
        <f>'DETALHE GANHOS E GASTOS'!H219</f>
        <v>0</v>
      </c>
      <c r="P86" s="215" t="str">
        <f t="shared" si="23"/>
        <v/>
      </c>
    </row>
    <row r="87" spans="2:16" ht="15" customHeight="1" x14ac:dyDescent="0.25">
      <c r="B87" s="54" t="s">
        <v>136</v>
      </c>
      <c r="C87" s="92">
        <f>C85+C86</f>
        <v>-447970.75999999995</v>
      </c>
      <c r="D87" s="92">
        <f>D85+D86</f>
        <v>-150064.90999999997</v>
      </c>
      <c r="E87" s="92">
        <f>E85+E86</f>
        <v>-398768.79</v>
      </c>
      <c r="F87" s="92">
        <f>F85+F86</f>
        <v>-407207.14999999997</v>
      </c>
      <c r="G87" s="92">
        <f t="shared" ref="G87:N87" si="27">G85+G86</f>
        <v>-492135.76999999996</v>
      </c>
      <c r="H87" s="92">
        <f t="shared" si="27"/>
        <v>-252387.41999999998</v>
      </c>
      <c r="I87" s="92">
        <f t="shared" si="27"/>
        <v>-830050.77</v>
      </c>
      <c r="J87" s="92">
        <f t="shared" si="27"/>
        <v>0</v>
      </c>
      <c r="K87" s="92">
        <f t="shared" si="27"/>
        <v>0</v>
      </c>
      <c r="L87" s="92">
        <f t="shared" si="27"/>
        <v>0</v>
      </c>
      <c r="M87" s="92">
        <f t="shared" si="27"/>
        <v>0</v>
      </c>
      <c r="N87" s="92">
        <f t="shared" si="27"/>
        <v>0</v>
      </c>
      <c r="O87" s="93">
        <f>O85+O86</f>
        <v>-2978585.5700000003</v>
      </c>
      <c r="P87" s="64">
        <f t="shared" si="23"/>
        <v>-6.3146691309325007</v>
      </c>
    </row>
    <row r="88" spans="2:16" ht="15" customHeight="1" x14ac:dyDescent="0.25">
      <c r="B88" s="60" t="s">
        <v>121</v>
      </c>
      <c r="C88" s="94">
        <f>C87-C44</f>
        <v>0</v>
      </c>
      <c r="D88" s="94">
        <f>D87-D44</f>
        <v>447970.75999999995</v>
      </c>
      <c r="E88" s="94">
        <f>E87-E44</f>
        <v>598035.66999999993</v>
      </c>
      <c r="F88" s="94">
        <f>F87-F44</f>
        <v>996804.46</v>
      </c>
      <c r="G88" s="94">
        <f t="shared" ref="G88:N88" si="28">G87-G44</f>
        <v>1404011.6099999999</v>
      </c>
      <c r="H88" s="94">
        <f t="shared" si="28"/>
        <v>1896147.38</v>
      </c>
      <c r="I88" s="94">
        <f t="shared" si="28"/>
        <v>2148534.7999999998</v>
      </c>
      <c r="J88" s="94">
        <f t="shared" si="28"/>
        <v>2978585.57</v>
      </c>
      <c r="K88" s="94">
        <f t="shared" si="28"/>
        <v>2978585.57</v>
      </c>
      <c r="L88" s="94">
        <f t="shared" si="28"/>
        <v>2978585.57</v>
      </c>
      <c r="M88" s="94">
        <f t="shared" si="28"/>
        <v>2978585.57</v>
      </c>
      <c r="N88" s="94">
        <f t="shared" si="28"/>
        <v>2978585.57</v>
      </c>
      <c r="O88" s="94">
        <f>O87-O44</f>
        <v>-2978585.5700000003</v>
      </c>
      <c r="P88" s="65"/>
    </row>
    <row r="89" spans="2:16" ht="15" customHeight="1" x14ac:dyDescent="0.25">
      <c r="C89" s="85"/>
      <c r="D89" s="85"/>
      <c r="E89" s="85"/>
      <c r="F89" s="85"/>
      <c r="G89" s="85"/>
      <c r="H89" s="85"/>
      <c r="I89" s="85"/>
      <c r="J89" s="85"/>
      <c r="K89" s="85"/>
      <c r="L89" s="85"/>
      <c r="M89" s="85"/>
      <c r="N89" s="85"/>
      <c r="O89" s="85"/>
      <c r="P89" s="86"/>
    </row>
    <row r="90" spans="2:16" ht="15" customHeight="1" x14ac:dyDescent="0.25">
      <c r="C90" s="85"/>
      <c r="D90" s="85"/>
      <c r="E90" s="85"/>
      <c r="F90" s="85"/>
      <c r="G90" s="85"/>
      <c r="H90" s="85"/>
      <c r="I90" s="85"/>
      <c r="J90" s="85"/>
      <c r="K90" s="85"/>
      <c r="L90" s="85"/>
      <c r="M90" s="85"/>
      <c r="N90" s="85"/>
      <c r="O90" s="85"/>
      <c r="P90" s="86"/>
    </row>
    <row r="91" spans="2:16" ht="15" customHeight="1" x14ac:dyDescent="0.25"/>
    <row r="92" spans="2:16" ht="15" customHeight="1" x14ac:dyDescent="0.25">
      <c r="O92" s="122" t="s">
        <v>432</v>
      </c>
      <c r="P92" s="121" t="str">
        <f>IF(COVER!$K$6&lt;&gt;"",CONCATENATE("milhares ",COVER!$K$6),"")</f>
        <v>milhares MZN</v>
      </c>
    </row>
    <row r="93" spans="2:16" ht="21" customHeight="1" x14ac:dyDescent="0.25">
      <c r="B93" s="382" t="s">
        <v>137</v>
      </c>
      <c r="C93" s="381"/>
      <c r="D93" s="381"/>
      <c r="E93" s="381"/>
      <c r="F93" s="381"/>
      <c r="G93" s="381"/>
      <c r="H93" s="381"/>
      <c r="I93" s="381"/>
      <c r="J93" s="381"/>
      <c r="K93" s="381"/>
      <c r="L93" s="381"/>
      <c r="M93" s="381"/>
      <c r="N93" s="381"/>
      <c r="O93" s="381"/>
      <c r="P93" s="381"/>
    </row>
    <row r="94" spans="2:16" ht="15" customHeight="1" x14ac:dyDescent="0.25">
      <c r="B94" s="48" t="s">
        <v>171</v>
      </c>
      <c r="C94" s="224">
        <f>C35</f>
        <v>-640862.55000000005</v>
      </c>
      <c r="D94" s="224">
        <f>D35</f>
        <v>570960.87</v>
      </c>
      <c r="E94" s="224">
        <f>E35</f>
        <v>-99587.030000000028</v>
      </c>
      <c r="F94" s="224">
        <f>F35</f>
        <v>-420431.41</v>
      </c>
      <c r="G94" s="359"/>
      <c r="H94" s="359"/>
      <c r="I94" s="359"/>
      <c r="J94" s="359"/>
      <c r="K94" s="359"/>
      <c r="L94" s="359"/>
      <c r="M94" s="359"/>
      <c r="N94" s="359"/>
      <c r="O94" s="88">
        <f>O35</f>
        <v>0</v>
      </c>
      <c r="P94" s="214">
        <f>IFERROR(IF(AND(F94&lt;0,O94&lt;=0),-(O94-F94)/F94,IF(AND(F94&lt;0,O94&gt;0),-(O94-F94)/F94,(O94-F94)/F94)),"")</f>
        <v>1</v>
      </c>
    </row>
    <row r="95" spans="2:16" ht="15" customHeight="1" x14ac:dyDescent="0.25">
      <c r="B95" s="48" t="s">
        <v>172</v>
      </c>
      <c r="C95" s="224">
        <f>C63</f>
        <v>181872.50999999998</v>
      </c>
      <c r="D95" s="224">
        <f>D63</f>
        <v>721025.78</v>
      </c>
      <c r="E95" s="224">
        <f>E63</f>
        <v>299181.76</v>
      </c>
      <c r="F95" s="224">
        <f>F63</f>
        <v>-13224.26</v>
      </c>
      <c r="G95" s="359"/>
      <c r="H95" s="359"/>
      <c r="I95" s="359"/>
      <c r="J95" s="359"/>
      <c r="K95" s="359"/>
      <c r="L95" s="359"/>
      <c r="M95" s="359"/>
      <c r="N95" s="359"/>
      <c r="O95" s="88">
        <f>O63</f>
        <v>0</v>
      </c>
      <c r="P95" s="214">
        <f>IFERROR(IF(AND(F95&lt;0,O95&lt;=0),-(O95-F95)/F95,IF(AND(F95&lt;0,O95&gt;0),-(O95-F95)/F95,(O95-F95)/F95)),"")</f>
        <v>1</v>
      </c>
    </row>
    <row r="96" spans="2:16" ht="15" customHeight="1" x14ac:dyDescent="0.25">
      <c r="B96" s="48" t="s">
        <v>173</v>
      </c>
      <c r="C96" s="224">
        <f>C48</f>
        <v>-447970.75999999995</v>
      </c>
      <c r="D96" s="224">
        <f>D48</f>
        <v>-598035.66999999993</v>
      </c>
      <c r="E96" s="224">
        <f>E48</f>
        <v>-996804.46</v>
      </c>
      <c r="F96" s="224">
        <f>F48</f>
        <v>-1404011.6099999999</v>
      </c>
      <c r="G96" s="359"/>
      <c r="H96" s="359"/>
      <c r="I96" s="359"/>
      <c r="J96" s="359"/>
      <c r="K96" s="359"/>
      <c r="L96" s="359"/>
      <c r="M96" s="359"/>
      <c r="N96" s="359"/>
      <c r="O96" s="88">
        <f>O48</f>
        <v>0</v>
      </c>
      <c r="P96" s="214">
        <f>IFERROR(IF(AND(F96&lt;0,O96&lt;=0),-(O96-F96)/F96,IF(AND(F96&lt;0,O96&gt;0),-(O96-F96)/F96,(O96-F96)/F96)),"")</f>
        <v>1</v>
      </c>
    </row>
    <row r="97" spans="2:16" ht="15" customHeight="1" x14ac:dyDescent="0.25">
      <c r="C97" s="95"/>
      <c r="D97" s="95"/>
      <c r="E97" s="95"/>
      <c r="F97" s="95"/>
      <c r="G97" s="95"/>
      <c r="H97" s="95"/>
      <c r="I97" s="95"/>
      <c r="J97" s="95"/>
      <c r="K97" s="95"/>
      <c r="L97" s="95"/>
      <c r="M97" s="95"/>
      <c r="N97" s="95"/>
      <c r="O97" s="95"/>
    </row>
    <row r="98" spans="2:16" ht="15" customHeight="1" x14ac:dyDescent="0.25">
      <c r="B98" s="48" t="s">
        <v>123</v>
      </c>
      <c r="C98" s="224">
        <f t="shared" ref="C98:O99" si="29">C74</f>
        <v>0</v>
      </c>
      <c r="D98" s="224">
        <f t="shared" si="29"/>
        <v>0</v>
      </c>
      <c r="E98" s="224">
        <f t="shared" si="29"/>
        <v>0</v>
      </c>
      <c r="F98" s="224">
        <f t="shared" si="29"/>
        <v>0</v>
      </c>
      <c r="G98" s="359"/>
      <c r="H98" s="359"/>
      <c r="I98" s="359"/>
      <c r="J98" s="359"/>
      <c r="K98" s="359"/>
      <c r="L98" s="359"/>
      <c r="M98" s="359"/>
      <c r="N98" s="359"/>
      <c r="O98" s="88">
        <f t="shared" si="29"/>
        <v>0</v>
      </c>
      <c r="P98" s="214" t="str">
        <f>IFERROR(IF(AND(F98&lt;0,O98&lt;=0),-(O98-F98)/F98,IF(AND(F98&lt;0,O98&gt;0),-(O98-F98)/F98,(O98-F98)/F98)),"")</f>
        <v/>
      </c>
    </row>
    <row r="99" spans="2:16" ht="15" customHeight="1" x14ac:dyDescent="0.25">
      <c r="B99" s="48" t="s">
        <v>124</v>
      </c>
      <c r="C99" s="224">
        <f t="shared" si="29"/>
        <v>0</v>
      </c>
      <c r="D99" s="224">
        <f t="shared" si="29"/>
        <v>0</v>
      </c>
      <c r="E99" s="224">
        <f t="shared" si="29"/>
        <v>0</v>
      </c>
      <c r="F99" s="224">
        <f t="shared" si="29"/>
        <v>0</v>
      </c>
      <c r="G99" s="359"/>
      <c r="H99" s="359"/>
      <c r="I99" s="359"/>
      <c r="J99" s="359"/>
      <c r="K99" s="359"/>
      <c r="L99" s="359"/>
      <c r="M99" s="359"/>
      <c r="N99" s="359"/>
      <c r="O99" s="88">
        <f t="shared" si="29"/>
        <v>0</v>
      </c>
      <c r="P99" s="214" t="str">
        <f>IFERROR(IF(AND(F99&lt;0,O99&lt;=0),-(O99-F99)/F99,IF(AND(F99&lt;0,O99&gt;0),-(O99-F99)/F99,(O99-F99)/F99)),"")</f>
        <v/>
      </c>
    </row>
    <row r="100" spans="2:16" ht="15" customHeight="1" x14ac:dyDescent="0.25">
      <c r="B100" s="83" t="s">
        <v>166</v>
      </c>
      <c r="C100" s="231" t="str">
        <f>IFERROR((C98+C99)/C98,"")</f>
        <v/>
      </c>
      <c r="D100" s="231" t="str">
        <f>IFERROR((D98+D99)/D98,"")</f>
        <v/>
      </c>
      <c r="E100" s="231" t="str">
        <f>IFERROR((E98+E99)/E98,"")</f>
        <v/>
      </c>
      <c r="F100" s="231" t="str">
        <f>IFERROR((F98+F99)/F98,"")</f>
        <v/>
      </c>
      <c r="G100" s="231"/>
      <c r="H100" s="231"/>
      <c r="I100" s="231"/>
      <c r="J100" s="231"/>
      <c r="K100" s="231"/>
      <c r="L100" s="231"/>
      <c r="M100" s="231"/>
      <c r="N100" s="231"/>
      <c r="O100" s="84" t="str">
        <f>IFERROR((O98+O99)/O98,"")</f>
        <v/>
      </c>
      <c r="P100" s="214"/>
    </row>
    <row r="101" spans="2:16" ht="15" customHeight="1" x14ac:dyDescent="0.25">
      <c r="B101" s="48" t="s">
        <v>167</v>
      </c>
      <c r="C101" s="224">
        <f>C82-C78</f>
        <v>-434181.77999999997</v>
      </c>
      <c r="D101" s="224">
        <f>D82-D78</f>
        <v>-136801.97999999998</v>
      </c>
      <c r="E101" s="224">
        <f>E82-E78</f>
        <v>-396389.35</v>
      </c>
      <c r="F101" s="224">
        <f>F82-F78</f>
        <v>-406521.36</v>
      </c>
      <c r="G101" s="359"/>
      <c r="H101" s="359"/>
      <c r="I101" s="359"/>
      <c r="J101" s="359"/>
      <c r="K101" s="359"/>
      <c r="L101" s="359"/>
      <c r="M101" s="359"/>
      <c r="N101" s="359"/>
      <c r="O101" s="88">
        <f>O82-O78</f>
        <v>-2943152.41</v>
      </c>
      <c r="P101" s="214">
        <f>IFERROR(IF(AND(F101&lt;0,O101&lt;=0),-(O101-F101)/F101,IF(AND(F101&lt;0,O101&gt;0),-(O101-F101)/F101,(O101-F101)/F101)),"")</f>
        <v>-6.2398469049695207</v>
      </c>
    </row>
    <row r="102" spans="2:16" ht="15" customHeight="1" x14ac:dyDescent="0.25">
      <c r="B102" s="48" t="s">
        <v>127</v>
      </c>
      <c r="C102" s="224">
        <f>C78</f>
        <v>0</v>
      </c>
      <c r="D102" s="224">
        <f>D78</f>
        <v>0</v>
      </c>
      <c r="E102" s="224">
        <f>E78</f>
        <v>0</v>
      </c>
      <c r="F102" s="224">
        <f>F78</f>
        <v>0</v>
      </c>
      <c r="G102" s="359"/>
      <c r="H102" s="359"/>
      <c r="I102" s="359"/>
      <c r="J102" s="359"/>
      <c r="K102" s="359"/>
      <c r="L102" s="359"/>
      <c r="M102" s="359"/>
      <c r="N102" s="359"/>
      <c r="O102" s="88">
        <f>O78</f>
        <v>0</v>
      </c>
      <c r="P102" s="214" t="str">
        <f>IFERROR(IF(AND(F102&lt;0,O102&lt;=0),-(O102-F102)/F102,IF(AND(F102&lt;0,O102&gt;0),-(O102-F102)/F102,(O102-F102)/F102)),"")</f>
        <v/>
      </c>
    </row>
    <row r="103" spans="2:16" ht="15" customHeight="1" x14ac:dyDescent="0.25">
      <c r="B103" s="48" t="s">
        <v>168</v>
      </c>
      <c r="C103" s="224">
        <f>C101+C102</f>
        <v>-434181.77999999997</v>
      </c>
      <c r="D103" s="224">
        <f t="shared" ref="D103:O103" si="30">D101+D102</f>
        <v>-136801.97999999998</v>
      </c>
      <c r="E103" s="224">
        <f t="shared" si="30"/>
        <v>-396389.35</v>
      </c>
      <c r="F103" s="224">
        <f t="shared" si="30"/>
        <v>-406521.36</v>
      </c>
      <c r="G103" s="359"/>
      <c r="H103" s="359"/>
      <c r="I103" s="359"/>
      <c r="J103" s="359"/>
      <c r="K103" s="359"/>
      <c r="L103" s="359"/>
      <c r="M103" s="359"/>
      <c r="N103" s="359"/>
      <c r="O103" s="88">
        <f t="shared" si="30"/>
        <v>-2943152.41</v>
      </c>
      <c r="P103" s="214">
        <f>IFERROR(IF(AND(F103&lt;0,O103&lt;=0),-(O103-F103)/F103,IF(AND(F103&lt;0,O103&gt;0),-(O103-F103)/F103,(O103-F103)/F103)),"")</f>
        <v>-6.2398469049695207</v>
      </c>
    </row>
    <row r="104" spans="2:16" ht="15" customHeight="1" x14ac:dyDescent="0.25">
      <c r="B104" s="83" t="s">
        <v>169</v>
      </c>
      <c r="C104" s="231" t="str">
        <f>IFERROR(C103/C98,"")</f>
        <v/>
      </c>
      <c r="D104" s="231" t="str">
        <f t="shared" ref="D104:O104" si="31">IFERROR(D103/D98,"")</f>
        <v/>
      </c>
      <c r="E104" s="231" t="str">
        <f t="shared" si="31"/>
        <v/>
      </c>
      <c r="F104" s="231" t="str">
        <f t="shared" si="31"/>
        <v/>
      </c>
      <c r="G104" s="231"/>
      <c r="H104" s="231"/>
      <c r="I104" s="231"/>
      <c r="J104" s="231"/>
      <c r="K104" s="231"/>
      <c r="L104" s="231"/>
      <c r="M104" s="231"/>
      <c r="N104" s="231"/>
      <c r="O104" s="84" t="str">
        <f t="shared" si="31"/>
        <v/>
      </c>
      <c r="P104" s="214"/>
    </row>
    <row r="105" spans="2:16" ht="15" customHeight="1" x14ac:dyDescent="0.25">
      <c r="B105" s="48" t="s">
        <v>162</v>
      </c>
      <c r="C105" s="224">
        <f>C83+C84</f>
        <v>-13788.980000000001</v>
      </c>
      <c r="D105" s="224">
        <f>D83+D84</f>
        <v>-13262.93</v>
      </c>
      <c r="E105" s="224">
        <f>E83+E84</f>
        <v>-2379.44</v>
      </c>
      <c r="F105" s="224">
        <f>F83+F84</f>
        <v>-685.79000000000008</v>
      </c>
      <c r="G105" s="359"/>
      <c r="H105" s="359"/>
      <c r="I105" s="359"/>
      <c r="J105" s="359"/>
      <c r="K105" s="359"/>
      <c r="L105" s="359"/>
      <c r="M105" s="359"/>
      <c r="N105" s="359"/>
      <c r="O105" s="88">
        <f>O83+O84</f>
        <v>-35433.159999999996</v>
      </c>
      <c r="P105" s="214">
        <f>IFERROR(IF(AND(F105&lt;0,O105&lt;=0),-(O105-F105)/F105,IF(AND(F105&lt;0,O105&gt;0),-(O105-F105)/F105,(O105-F105)/F105)),"")</f>
        <v>-50.667653363274461</v>
      </c>
    </row>
    <row r="106" spans="2:16" ht="15" customHeight="1" x14ac:dyDescent="0.25">
      <c r="B106" s="48" t="s">
        <v>163</v>
      </c>
      <c r="C106" s="224">
        <f>C103+C105</f>
        <v>-447970.75999999995</v>
      </c>
      <c r="D106" s="224">
        <f t="shared" ref="D106:O106" si="32">D103+D105</f>
        <v>-150064.90999999997</v>
      </c>
      <c r="E106" s="224">
        <f t="shared" si="32"/>
        <v>-398768.79</v>
      </c>
      <c r="F106" s="224">
        <f t="shared" si="32"/>
        <v>-407207.14999999997</v>
      </c>
      <c r="G106" s="359"/>
      <c r="H106" s="359"/>
      <c r="I106" s="359"/>
      <c r="J106" s="359"/>
      <c r="K106" s="359"/>
      <c r="L106" s="359"/>
      <c r="M106" s="359"/>
      <c r="N106" s="359"/>
      <c r="O106" s="88">
        <f t="shared" si="32"/>
        <v>-2978585.5700000003</v>
      </c>
      <c r="P106" s="214">
        <f>IFERROR(IF(AND(F106&lt;0,O106&lt;=0),-(O106-F106)/F106,IF(AND(F106&lt;0,O106&gt;0),-(O106-F106)/F106,(O106-F106)/F106)),"")</f>
        <v>-6.3146691309325007</v>
      </c>
    </row>
    <row r="107" spans="2:16" ht="15" customHeight="1" x14ac:dyDescent="0.25">
      <c r="B107" s="48" t="s">
        <v>164</v>
      </c>
      <c r="C107" s="224">
        <f>C86</f>
        <v>0</v>
      </c>
      <c r="D107" s="224">
        <f t="shared" ref="D107:O107" si="33">D86</f>
        <v>0</v>
      </c>
      <c r="E107" s="224">
        <f t="shared" si="33"/>
        <v>0</v>
      </c>
      <c r="F107" s="224">
        <f t="shared" si="33"/>
        <v>0</v>
      </c>
      <c r="G107" s="359"/>
      <c r="H107" s="359"/>
      <c r="I107" s="359"/>
      <c r="J107" s="359"/>
      <c r="K107" s="359"/>
      <c r="L107" s="359"/>
      <c r="M107" s="359"/>
      <c r="N107" s="359"/>
      <c r="O107" s="88">
        <f t="shared" si="33"/>
        <v>0</v>
      </c>
      <c r="P107" s="214" t="str">
        <f>IFERROR(IF(AND(F107&lt;0,O107&lt;=0),-(O107-F107)/F107,IF(AND(F107&lt;0,O107&gt;0),-(O107-F107)/F107,(O107-F107)/F107)),"")</f>
        <v/>
      </c>
    </row>
    <row r="108" spans="2:16" ht="15" customHeight="1" x14ac:dyDescent="0.25">
      <c r="B108" s="48" t="s">
        <v>165</v>
      </c>
      <c r="C108" s="224">
        <f>C106+C107</f>
        <v>-447970.75999999995</v>
      </c>
      <c r="D108" s="224">
        <f t="shared" ref="D108:O108" si="34">D106+D107</f>
        <v>-150064.90999999997</v>
      </c>
      <c r="E108" s="224">
        <f t="shared" si="34"/>
        <v>-398768.79</v>
      </c>
      <c r="F108" s="224">
        <f t="shared" si="34"/>
        <v>-407207.14999999997</v>
      </c>
      <c r="G108" s="359"/>
      <c r="H108" s="359"/>
      <c r="I108" s="359"/>
      <c r="J108" s="359"/>
      <c r="K108" s="359"/>
      <c r="L108" s="359"/>
      <c r="M108" s="359"/>
      <c r="N108" s="359"/>
      <c r="O108" s="88">
        <f t="shared" si="34"/>
        <v>-2978585.5700000003</v>
      </c>
      <c r="P108" s="214">
        <f>IFERROR(IF(AND(F108&lt;0,O108&lt;=0),-(O108-F108)/F108,IF(AND(F108&lt;0,O108&gt;0),-(O108-F108)/F108,(O108-F108)/F108)),"")</f>
        <v>-6.3146691309325007</v>
      </c>
    </row>
    <row r="109" spans="2:16" ht="15" customHeight="1" x14ac:dyDescent="0.25">
      <c r="B109" s="83" t="s">
        <v>170</v>
      </c>
      <c r="C109" s="231" t="str">
        <f>IFERROR(C108/C98,"")</f>
        <v/>
      </c>
      <c r="D109" s="231" t="str">
        <f t="shared" ref="D109:O109" si="35">IFERROR(D108/D98,"")</f>
        <v/>
      </c>
      <c r="E109" s="231" t="str">
        <f t="shared" si="35"/>
        <v/>
      </c>
      <c r="F109" s="231" t="str">
        <f t="shared" si="35"/>
        <v/>
      </c>
      <c r="G109" s="231"/>
      <c r="H109" s="231"/>
      <c r="I109" s="231"/>
      <c r="J109" s="231"/>
      <c r="K109" s="231"/>
      <c r="L109" s="231"/>
      <c r="M109" s="231"/>
      <c r="N109" s="231"/>
      <c r="O109" s="84" t="str">
        <f t="shared" si="35"/>
        <v/>
      </c>
      <c r="P109" s="214"/>
    </row>
    <row r="110" spans="2:16" ht="15" customHeight="1" x14ac:dyDescent="0.25"/>
    <row r="111" spans="2:16" ht="15" customHeight="1" x14ac:dyDescent="0.25"/>
    <row r="112" spans="2:16" ht="15" customHeight="1" x14ac:dyDescent="0.25"/>
    <row r="113" spans="2:16" ht="15" customHeight="1" x14ac:dyDescent="0.25">
      <c r="F113" s="122" t="s">
        <v>432</v>
      </c>
      <c r="G113" s="122"/>
      <c r="H113" s="122"/>
      <c r="I113" s="122"/>
      <c r="J113" s="122"/>
      <c r="K113" s="122"/>
      <c r="L113" s="122"/>
      <c r="M113" s="122"/>
      <c r="N113" s="122"/>
      <c r="O113" s="121" t="str">
        <f>IF(COVER!$K$6&lt;&gt;"",CONCATENATE("milhares ",COVER!$K$6),"")</f>
        <v>milhares MZN</v>
      </c>
    </row>
    <row r="114" spans="2:16" ht="21.75" customHeight="1" x14ac:dyDescent="0.25">
      <c r="B114" s="370" t="s">
        <v>138</v>
      </c>
      <c r="C114" s="377"/>
      <c r="D114" s="377"/>
      <c r="E114" s="377"/>
      <c r="F114" s="377"/>
      <c r="G114" s="377"/>
      <c r="H114" s="377"/>
      <c r="I114" s="377"/>
      <c r="J114" s="377"/>
      <c r="K114" s="377"/>
      <c r="L114" s="377"/>
      <c r="M114" s="377"/>
      <c r="N114" s="377"/>
      <c r="O114" s="377"/>
    </row>
    <row r="115" spans="2:16" ht="15" customHeight="1" x14ac:dyDescent="0.25"/>
    <row r="116" spans="2:16" s="31" customFormat="1" ht="31.5" customHeight="1" x14ac:dyDescent="0.25">
      <c r="B116" s="32"/>
      <c r="C116" s="49" t="str">
        <f>C72</f>
        <v>JAN</v>
      </c>
      <c r="D116" s="49" t="str">
        <f t="shared" ref="D116:N116" si="36">D72</f>
        <v>FEV</v>
      </c>
      <c r="E116" s="49" t="str">
        <f t="shared" si="36"/>
        <v>MARCH</v>
      </c>
      <c r="F116" s="49" t="str">
        <f t="shared" si="36"/>
        <v>APRIL</v>
      </c>
      <c r="G116" s="49" t="str">
        <f t="shared" si="36"/>
        <v>MAY</v>
      </c>
      <c r="H116" s="49" t="str">
        <f t="shared" si="36"/>
        <v>JUNE</v>
      </c>
      <c r="I116" s="49" t="str">
        <f t="shared" si="36"/>
        <v>JULY</v>
      </c>
      <c r="J116" s="49" t="str">
        <f t="shared" si="36"/>
        <v>AUGUST</v>
      </c>
      <c r="K116" s="49" t="str">
        <f t="shared" si="36"/>
        <v>SEPTEMBER</v>
      </c>
      <c r="L116" s="49" t="str">
        <f t="shared" si="36"/>
        <v>OCTOBER</v>
      </c>
      <c r="M116" s="49" t="str">
        <f t="shared" si="36"/>
        <v>NOVEMBER</v>
      </c>
      <c r="N116" s="49" t="str">
        <f t="shared" si="36"/>
        <v>DEZEMBER</v>
      </c>
      <c r="O116" s="55">
        <f>$E$3</f>
        <v>2022</v>
      </c>
      <c r="P116" s="57"/>
    </row>
    <row r="117" spans="2:16" ht="15" customHeight="1" x14ac:dyDescent="0.25"/>
    <row r="118" spans="2:16" ht="21" customHeight="1" x14ac:dyDescent="0.25">
      <c r="B118" s="382" t="s">
        <v>139</v>
      </c>
      <c r="C118" s="381"/>
      <c r="D118" s="381"/>
      <c r="E118" s="381"/>
      <c r="F118" s="381"/>
      <c r="G118" s="381"/>
      <c r="H118" s="381"/>
      <c r="I118" s="381"/>
      <c r="J118" s="381"/>
      <c r="K118" s="381"/>
      <c r="L118" s="381"/>
      <c r="M118" s="381"/>
      <c r="N118" s="381"/>
      <c r="O118" s="381"/>
    </row>
    <row r="119" spans="2:16" ht="15" customHeight="1" x14ac:dyDescent="0.25">
      <c r="B119" s="48" t="s">
        <v>136</v>
      </c>
      <c r="C119" s="207"/>
      <c r="D119" s="207"/>
      <c r="E119" s="207"/>
      <c r="F119" s="207"/>
      <c r="G119" s="361"/>
      <c r="H119" s="361"/>
      <c r="I119" s="361"/>
      <c r="J119" s="361"/>
      <c r="K119" s="361"/>
      <c r="L119" s="361"/>
      <c r="M119" s="361"/>
      <c r="N119" s="361"/>
      <c r="O119" s="232"/>
    </row>
    <row r="120" spans="2:16" ht="15" customHeight="1" x14ac:dyDescent="0.25">
      <c r="B120" s="58" t="s">
        <v>140</v>
      </c>
      <c r="C120" s="207"/>
      <c r="D120" s="207"/>
      <c r="E120" s="207"/>
      <c r="F120" s="207"/>
      <c r="G120" s="361"/>
      <c r="H120" s="361"/>
      <c r="I120" s="361"/>
      <c r="J120" s="361"/>
      <c r="K120" s="361"/>
      <c r="L120" s="361"/>
      <c r="M120" s="361"/>
      <c r="N120" s="361"/>
      <c r="O120" s="232"/>
    </row>
    <row r="121" spans="2:16" ht="15" customHeight="1" x14ac:dyDescent="0.25">
      <c r="B121" s="48" t="s">
        <v>127</v>
      </c>
      <c r="C121" s="207"/>
      <c r="D121" s="207"/>
      <c r="E121" s="207"/>
      <c r="F121" s="207"/>
      <c r="G121" s="361"/>
      <c r="H121" s="361"/>
      <c r="I121" s="361"/>
      <c r="J121" s="361"/>
      <c r="K121" s="361"/>
      <c r="L121" s="361"/>
      <c r="M121" s="361"/>
      <c r="N121" s="361"/>
      <c r="O121" s="232"/>
    </row>
    <row r="122" spans="2:16" ht="15" customHeight="1" x14ac:dyDescent="0.25">
      <c r="B122" s="48" t="s">
        <v>128</v>
      </c>
      <c r="C122" s="207"/>
      <c r="D122" s="207"/>
      <c r="E122" s="207"/>
      <c r="F122" s="207"/>
      <c r="G122" s="361"/>
      <c r="H122" s="361"/>
      <c r="I122" s="361"/>
      <c r="J122" s="361"/>
      <c r="K122" s="361"/>
      <c r="L122" s="361"/>
      <c r="M122" s="361"/>
      <c r="N122" s="361"/>
      <c r="O122" s="232"/>
    </row>
    <row r="123" spans="2:16" ht="15" customHeight="1" x14ac:dyDescent="0.25">
      <c r="B123" s="48" t="s">
        <v>141</v>
      </c>
      <c r="C123" s="207"/>
      <c r="D123" s="207"/>
      <c r="E123" s="207"/>
      <c r="F123" s="207"/>
      <c r="G123" s="361"/>
      <c r="H123" s="361"/>
      <c r="I123" s="361"/>
      <c r="J123" s="361"/>
      <c r="K123" s="361"/>
      <c r="L123" s="361"/>
      <c r="M123" s="361"/>
      <c r="N123" s="361"/>
      <c r="O123" s="232"/>
    </row>
    <row r="124" spans="2:16" ht="15" customHeight="1" x14ac:dyDescent="0.25">
      <c r="B124" s="48" t="s">
        <v>142</v>
      </c>
      <c r="C124" s="207"/>
      <c r="D124" s="207"/>
      <c r="E124" s="207"/>
      <c r="F124" s="207"/>
      <c r="G124" s="361"/>
      <c r="H124" s="361"/>
      <c r="I124" s="361"/>
      <c r="J124" s="361"/>
      <c r="K124" s="361"/>
      <c r="L124" s="361"/>
      <c r="M124" s="361"/>
      <c r="N124" s="361"/>
      <c r="O124" s="232"/>
    </row>
    <row r="125" spans="2:16" ht="15" customHeight="1" x14ac:dyDescent="0.25">
      <c r="B125" s="48" t="s">
        <v>143</v>
      </c>
      <c r="C125" s="207"/>
      <c r="D125" s="207"/>
      <c r="E125" s="207"/>
      <c r="F125" s="207"/>
      <c r="G125" s="361"/>
      <c r="H125" s="361"/>
      <c r="I125" s="361"/>
      <c r="J125" s="361"/>
      <c r="K125" s="361"/>
      <c r="L125" s="361"/>
      <c r="M125" s="361"/>
      <c r="N125" s="361"/>
      <c r="O125" s="232"/>
    </row>
    <row r="126" spans="2:16" ht="15" customHeight="1" x14ac:dyDescent="0.25">
      <c r="B126" s="48" t="s">
        <v>144</v>
      </c>
      <c r="C126" s="207"/>
      <c r="D126" s="207"/>
      <c r="E126" s="207"/>
      <c r="F126" s="207"/>
      <c r="G126" s="361"/>
      <c r="H126" s="361"/>
      <c r="I126" s="361"/>
      <c r="J126" s="361"/>
      <c r="K126" s="361"/>
      <c r="L126" s="361"/>
      <c r="M126" s="361"/>
      <c r="N126" s="361"/>
      <c r="O126" s="232"/>
    </row>
    <row r="127" spans="2:16" ht="15" customHeight="1" x14ac:dyDescent="0.25">
      <c r="B127" s="51" t="s">
        <v>145</v>
      </c>
      <c r="C127" s="220"/>
      <c r="D127" s="220"/>
      <c r="E127" s="220"/>
      <c r="F127" s="220"/>
      <c r="G127" s="362"/>
      <c r="H127" s="362"/>
      <c r="I127" s="362"/>
      <c r="J127" s="362"/>
      <c r="K127" s="362"/>
      <c r="L127" s="362"/>
      <c r="M127" s="362"/>
      <c r="N127" s="362"/>
      <c r="O127" s="233"/>
    </row>
    <row r="128" spans="2:16" ht="15" customHeight="1" x14ac:dyDescent="0.25">
      <c r="B128" s="51" t="s">
        <v>146</v>
      </c>
      <c r="C128" s="220"/>
      <c r="D128" s="220"/>
      <c r="E128" s="220"/>
      <c r="F128" s="220"/>
      <c r="G128" s="362"/>
      <c r="H128" s="362"/>
      <c r="I128" s="362"/>
      <c r="J128" s="362"/>
      <c r="K128" s="362"/>
      <c r="L128" s="362"/>
      <c r="M128" s="362"/>
      <c r="N128" s="362"/>
      <c r="O128" s="233"/>
    </row>
    <row r="129" spans="2:15" ht="15" customHeight="1" x14ac:dyDescent="0.25">
      <c r="B129" s="51" t="s">
        <v>147</v>
      </c>
      <c r="C129" s="220"/>
      <c r="D129" s="220"/>
      <c r="E129" s="220"/>
      <c r="F129" s="220"/>
      <c r="G129" s="362"/>
      <c r="H129" s="362"/>
      <c r="I129" s="362"/>
      <c r="J129" s="362"/>
      <c r="K129" s="362"/>
      <c r="L129" s="362"/>
      <c r="M129" s="362"/>
      <c r="N129" s="362"/>
      <c r="O129" s="233"/>
    </row>
    <row r="130" spans="2:15" ht="15" customHeight="1" x14ac:dyDescent="0.25">
      <c r="B130" s="53" t="s">
        <v>148</v>
      </c>
      <c r="C130" s="211">
        <f>C119+SUM(C121:C129)</f>
        <v>0</v>
      </c>
      <c r="D130" s="211">
        <f t="shared" ref="D130:O130" si="37">D119+SUM(D121:D129)</f>
        <v>0</v>
      </c>
      <c r="E130" s="211">
        <f t="shared" si="37"/>
        <v>0</v>
      </c>
      <c r="F130" s="211">
        <f t="shared" si="37"/>
        <v>0</v>
      </c>
      <c r="G130" s="360"/>
      <c r="H130" s="360"/>
      <c r="I130" s="360"/>
      <c r="J130" s="360"/>
      <c r="K130" s="360"/>
      <c r="L130" s="360"/>
      <c r="M130" s="360"/>
      <c r="N130" s="360"/>
      <c r="O130" s="90">
        <f t="shared" si="37"/>
        <v>0</v>
      </c>
    </row>
    <row r="131" spans="2:15" ht="15" customHeight="1" x14ac:dyDescent="0.25">
      <c r="B131" s="52"/>
      <c r="C131" s="96"/>
      <c r="D131" s="96"/>
      <c r="E131" s="96"/>
      <c r="F131" s="96"/>
      <c r="G131" s="363"/>
      <c r="H131" s="363"/>
      <c r="I131" s="363"/>
      <c r="J131" s="363"/>
      <c r="K131" s="363"/>
      <c r="L131" s="363"/>
      <c r="M131" s="363"/>
      <c r="N131" s="363"/>
      <c r="O131" s="97"/>
    </row>
    <row r="132" spans="2:15" ht="21" customHeight="1" x14ac:dyDescent="0.25">
      <c r="B132" s="382" t="s">
        <v>149</v>
      </c>
      <c r="C132" s="381"/>
      <c r="D132" s="381"/>
      <c r="E132" s="381"/>
      <c r="F132" s="381"/>
      <c r="G132" s="381"/>
      <c r="H132" s="381"/>
      <c r="I132" s="381"/>
      <c r="J132" s="381"/>
      <c r="K132" s="381"/>
      <c r="L132" s="381"/>
      <c r="M132" s="381"/>
      <c r="N132" s="381"/>
      <c r="O132" s="381"/>
    </row>
    <row r="133" spans="2:15" ht="15" customHeight="1" x14ac:dyDescent="0.25">
      <c r="B133" s="48" t="s">
        <v>150</v>
      </c>
      <c r="C133" s="207"/>
      <c r="D133" s="207"/>
      <c r="E133" s="207"/>
      <c r="F133" s="207"/>
      <c r="G133" s="361"/>
      <c r="H133" s="361"/>
      <c r="I133" s="361"/>
      <c r="J133" s="361"/>
      <c r="K133" s="361"/>
      <c r="L133" s="361"/>
      <c r="M133" s="361"/>
      <c r="N133" s="361"/>
      <c r="O133" s="232"/>
    </row>
    <row r="134" spans="2:15" ht="15" customHeight="1" x14ac:dyDescent="0.25">
      <c r="B134" s="48" t="s">
        <v>151</v>
      </c>
      <c r="C134" s="207"/>
      <c r="D134" s="207"/>
      <c r="E134" s="207"/>
      <c r="F134" s="207"/>
      <c r="G134" s="361"/>
      <c r="H134" s="361"/>
      <c r="I134" s="361"/>
      <c r="J134" s="361"/>
      <c r="K134" s="361"/>
      <c r="L134" s="361"/>
      <c r="M134" s="361"/>
      <c r="N134" s="361"/>
      <c r="O134" s="232"/>
    </row>
    <row r="135" spans="2:15" ht="15" customHeight="1" x14ac:dyDescent="0.25">
      <c r="B135" s="53" t="s">
        <v>152</v>
      </c>
      <c r="C135" s="211">
        <f>SUM(C133:C134)</f>
        <v>0</v>
      </c>
      <c r="D135" s="211">
        <f t="shared" ref="D135:O135" si="38">SUM(D133:D134)</f>
        <v>0</v>
      </c>
      <c r="E135" s="211">
        <f t="shared" si="38"/>
        <v>0</v>
      </c>
      <c r="F135" s="211">
        <f t="shared" si="38"/>
        <v>0</v>
      </c>
      <c r="G135" s="360"/>
      <c r="H135" s="360"/>
      <c r="I135" s="360"/>
      <c r="J135" s="360"/>
      <c r="K135" s="360"/>
      <c r="L135" s="360"/>
      <c r="M135" s="360"/>
      <c r="N135" s="360"/>
      <c r="O135" s="90">
        <f t="shared" si="38"/>
        <v>0</v>
      </c>
    </row>
    <row r="136" spans="2:15" ht="15" customHeight="1" x14ac:dyDescent="0.25">
      <c r="B136" s="48"/>
      <c r="C136" s="87"/>
      <c r="D136" s="87"/>
      <c r="E136" s="87"/>
      <c r="F136" s="87"/>
      <c r="G136" s="364"/>
      <c r="H136" s="364"/>
      <c r="I136" s="364"/>
      <c r="J136" s="364"/>
      <c r="K136" s="364"/>
      <c r="L136" s="364"/>
      <c r="M136" s="364"/>
      <c r="N136" s="364"/>
      <c r="O136" s="88"/>
    </row>
    <row r="137" spans="2:15" ht="21" customHeight="1" x14ac:dyDescent="0.25">
      <c r="B137" s="382" t="s">
        <v>153</v>
      </c>
      <c r="C137" s="381"/>
      <c r="D137" s="381"/>
      <c r="E137" s="381"/>
      <c r="F137" s="381"/>
      <c r="G137" s="381"/>
      <c r="H137" s="381"/>
      <c r="I137" s="381"/>
      <c r="J137" s="381"/>
      <c r="K137" s="381"/>
      <c r="L137" s="381"/>
      <c r="M137" s="381"/>
      <c r="N137" s="381"/>
      <c r="O137" s="381"/>
    </row>
    <row r="138" spans="2:15" ht="15" customHeight="1" x14ac:dyDescent="0.25">
      <c r="B138" s="48" t="s">
        <v>154</v>
      </c>
      <c r="C138" s="207"/>
      <c r="D138" s="207"/>
      <c r="E138" s="207"/>
      <c r="F138" s="207"/>
      <c r="G138" s="361"/>
      <c r="H138" s="361"/>
      <c r="I138" s="361"/>
      <c r="J138" s="361"/>
      <c r="K138" s="361"/>
      <c r="L138" s="361"/>
      <c r="M138" s="361"/>
      <c r="N138" s="361"/>
      <c r="O138" s="232"/>
    </row>
    <row r="139" spans="2:15" ht="15" customHeight="1" x14ac:dyDescent="0.25">
      <c r="B139" s="48" t="s">
        <v>155</v>
      </c>
      <c r="C139" s="207"/>
      <c r="D139" s="207"/>
      <c r="E139" s="207"/>
      <c r="F139" s="207"/>
      <c r="G139" s="361"/>
      <c r="H139" s="361"/>
      <c r="I139" s="361"/>
      <c r="J139" s="361"/>
      <c r="K139" s="361"/>
      <c r="L139" s="361"/>
      <c r="M139" s="361"/>
      <c r="N139" s="361"/>
      <c r="O139" s="232"/>
    </row>
    <row r="140" spans="2:15" ht="15" customHeight="1" x14ac:dyDescent="0.25">
      <c r="B140" s="48" t="s">
        <v>156</v>
      </c>
      <c r="C140" s="207"/>
      <c r="D140" s="207"/>
      <c r="E140" s="207"/>
      <c r="F140" s="207"/>
      <c r="G140" s="361"/>
      <c r="H140" s="361"/>
      <c r="I140" s="361"/>
      <c r="J140" s="361"/>
      <c r="K140" s="361"/>
      <c r="L140" s="361"/>
      <c r="M140" s="361"/>
      <c r="N140" s="361"/>
      <c r="O140" s="232"/>
    </row>
    <row r="141" spans="2:15" ht="15" customHeight="1" x14ac:dyDescent="0.25">
      <c r="B141" s="48" t="s">
        <v>157</v>
      </c>
      <c r="C141" s="207"/>
      <c r="D141" s="207"/>
      <c r="E141" s="207"/>
      <c r="F141" s="207"/>
      <c r="G141" s="361"/>
      <c r="H141" s="361"/>
      <c r="I141" s="361"/>
      <c r="J141" s="361"/>
      <c r="K141" s="361"/>
      <c r="L141" s="361"/>
      <c r="M141" s="361"/>
      <c r="N141" s="361"/>
      <c r="O141" s="232"/>
    </row>
    <row r="142" spans="2:15" ht="15" customHeight="1" x14ac:dyDescent="0.25">
      <c r="B142" s="53" t="s">
        <v>158</v>
      </c>
      <c r="C142" s="211">
        <f>SUM(C138:C141)</f>
        <v>0</v>
      </c>
      <c r="D142" s="211">
        <f t="shared" ref="D142:O142" si="39">SUM(D138:D141)</f>
        <v>0</v>
      </c>
      <c r="E142" s="211">
        <f t="shared" si="39"/>
        <v>0</v>
      </c>
      <c r="F142" s="211">
        <f t="shared" si="39"/>
        <v>0</v>
      </c>
      <c r="G142" s="360"/>
      <c r="H142" s="360"/>
      <c r="I142" s="360"/>
      <c r="J142" s="360"/>
      <c r="K142" s="360"/>
      <c r="L142" s="360"/>
      <c r="M142" s="360"/>
      <c r="N142" s="360"/>
      <c r="O142" s="90">
        <f t="shared" si="39"/>
        <v>0</v>
      </c>
    </row>
    <row r="143" spans="2:15" ht="15" customHeight="1" x14ac:dyDescent="0.25">
      <c r="B143" s="59"/>
      <c r="C143" s="98"/>
      <c r="D143" s="98"/>
      <c r="E143" s="98"/>
      <c r="F143" s="98"/>
      <c r="G143" s="365"/>
      <c r="H143" s="365"/>
      <c r="I143" s="365"/>
      <c r="J143" s="365"/>
      <c r="K143" s="365"/>
      <c r="L143" s="365"/>
      <c r="M143" s="365"/>
      <c r="N143" s="365"/>
      <c r="O143" s="99"/>
    </row>
    <row r="144" spans="2:15" ht="15" customHeight="1" x14ac:dyDescent="0.25">
      <c r="B144" s="54" t="s">
        <v>159</v>
      </c>
      <c r="C144" s="92">
        <f>C130+C135+C142</f>
        <v>0</v>
      </c>
      <c r="D144" s="92">
        <f t="shared" ref="D144:O144" si="40">D130+D135+D142</f>
        <v>0</v>
      </c>
      <c r="E144" s="92">
        <f t="shared" si="40"/>
        <v>0</v>
      </c>
      <c r="F144" s="92">
        <f t="shared" si="40"/>
        <v>0</v>
      </c>
      <c r="G144" s="93"/>
      <c r="H144" s="93"/>
      <c r="I144" s="93"/>
      <c r="J144" s="93"/>
      <c r="K144" s="93"/>
      <c r="L144" s="93"/>
      <c r="M144" s="93"/>
      <c r="N144" s="93"/>
      <c r="O144" s="93">
        <f t="shared" si="40"/>
        <v>0</v>
      </c>
    </row>
    <row r="145" spans="2:15" ht="15" customHeight="1" x14ac:dyDescent="0.25">
      <c r="B145" s="59"/>
      <c r="C145" s="98"/>
      <c r="D145" s="98"/>
      <c r="E145" s="98"/>
      <c r="F145" s="98"/>
      <c r="G145" s="365"/>
      <c r="H145" s="365"/>
      <c r="I145" s="365"/>
      <c r="J145" s="365"/>
      <c r="K145" s="365"/>
      <c r="L145" s="365"/>
      <c r="M145" s="365"/>
      <c r="N145" s="365"/>
      <c r="O145" s="99"/>
    </row>
    <row r="146" spans="2:15" ht="15" customHeight="1" x14ac:dyDescent="0.25">
      <c r="B146" s="54" t="s">
        <v>160</v>
      </c>
      <c r="C146" s="234"/>
      <c r="D146" s="92">
        <f>C147</f>
        <v>0</v>
      </c>
      <c r="E146" s="92">
        <f t="shared" ref="E146:F146" si="41">D147</f>
        <v>0</v>
      </c>
      <c r="F146" s="92">
        <f t="shared" si="41"/>
        <v>0</v>
      </c>
      <c r="G146" s="93"/>
      <c r="H146" s="93"/>
      <c r="I146" s="93"/>
      <c r="J146" s="93"/>
      <c r="K146" s="93"/>
      <c r="L146" s="93"/>
      <c r="M146" s="93"/>
      <c r="N146" s="93"/>
      <c r="O146" s="93">
        <f>F147</f>
        <v>0</v>
      </c>
    </row>
    <row r="147" spans="2:15" ht="15" customHeight="1" x14ac:dyDescent="0.25">
      <c r="B147" s="54" t="s">
        <v>161</v>
      </c>
      <c r="C147" s="92">
        <f>C144+C146</f>
        <v>0</v>
      </c>
      <c r="D147" s="92">
        <f>D144+D146</f>
        <v>0</v>
      </c>
      <c r="E147" s="92">
        <f t="shared" ref="E147:O147" si="42">E144+E146</f>
        <v>0</v>
      </c>
      <c r="F147" s="92">
        <f t="shared" si="42"/>
        <v>0</v>
      </c>
      <c r="G147" s="93"/>
      <c r="H147" s="93"/>
      <c r="I147" s="93"/>
      <c r="J147" s="93"/>
      <c r="K147" s="93"/>
      <c r="L147" s="93"/>
      <c r="M147" s="93"/>
      <c r="N147" s="93"/>
      <c r="O147" s="93">
        <f t="shared" si="42"/>
        <v>0</v>
      </c>
    </row>
    <row r="148" spans="2:15" ht="15" customHeight="1" x14ac:dyDescent="0.25">
      <c r="B148" s="60" t="s">
        <v>121</v>
      </c>
      <c r="C148" s="94">
        <f>C147-C33</f>
        <v>640862.55000000005</v>
      </c>
      <c r="D148" s="94">
        <f>D147-D33</f>
        <v>-570960.87</v>
      </c>
      <c r="E148" s="94">
        <f>E147-E33</f>
        <v>-581127.77</v>
      </c>
      <c r="F148" s="94">
        <f>F147-F33</f>
        <v>420431.41</v>
      </c>
      <c r="G148" s="100"/>
      <c r="H148" s="100"/>
      <c r="I148" s="100"/>
      <c r="J148" s="100"/>
      <c r="K148" s="100"/>
      <c r="L148" s="100"/>
      <c r="M148" s="100"/>
      <c r="N148" s="100"/>
      <c r="O148" s="100">
        <f>O147-O33</f>
        <v>0</v>
      </c>
    </row>
    <row r="149" spans="2:15" ht="15" customHeight="1" x14ac:dyDescent="0.25"/>
    <row r="150" spans="2:15" ht="15" customHeight="1" x14ac:dyDescent="0.25"/>
    <row r="151" spans="2:15" ht="15" customHeight="1" x14ac:dyDescent="0.25"/>
    <row r="152" spans="2:15" ht="15" customHeight="1" x14ac:dyDescent="0.25"/>
    <row r="153" spans="2:15" ht="15" customHeight="1" x14ac:dyDescent="0.25"/>
    <row r="154" spans="2:15" ht="15" customHeight="1" x14ac:dyDescent="0.25"/>
    <row r="155" spans="2:15" ht="15" customHeight="1" x14ac:dyDescent="0.25"/>
    <row r="156" spans="2:15" ht="15" customHeight="1" x14ac:dyDescent="0.25"/>
    <row r="157" spans="2:15" ht="15" customHeight="1" x14ac:dyDescent="0.25"/>
    <row r="158" spans="2:15" ht="15" customHeight="1" x14ac:dyDescent="0.25"/>
    <row r="159" spans="2:15" ht="15" customHeight="1" x14ac:dyDescent="0.25"/>
    <row r="160" spans="2:15" ht="15" customHeight="1" x14ac:dyDescent="0.25"/>
    <row r="161" ht="15" customHeight="1" x14ac:dyDescent="0.25"/>
  </sheetData>
  <sheetProtection sort="0" autoFilter="0"/>
  <mergeCells count="11">
    <mergeCell ref="B93:P93"/>
    <mergeCell ref="B114:O114"/>
    <mergeCell ref="B118:O118"/>
    <mergeCell ref="B132:O132"/>
    <mergeCell ref="B137:O137"/>
    <mergeCell ref="B70:P70"/>
    <mergeCell ref="C5:E5"/>
    <mergeCell ref="B8:P8"/>
    <mergeCell ref="B10:P10"/>
    <mergeCell ref="B14:P14"/>
    <mergeCell ref="B37:P37"/>
  </mergeCells>
  <conditionalFormatting sqref="C66:F66 D89:O90 D148:O148 O66 D88:F88 O88">
    <cfRule type="expression" dxfId="66" priority="10">
      <formula>C66&lt;&gt;0</formula>
    </cfRule>
  </conditionalFormatting>
  <conditionalFormatting sqref="C88:C90">
    <cfRule type="expression" dxfId="65" priority="8">
      <formula>C88&lt;&gt;0</formula>
    </cfRule>
  </conditionalFormatting>
  <conditionalFormatting sqref="C148">
    <cfRule type="expression" dxfId="64" priority="6">
      <formula>C148&lt;&gt;0</formula>
    </cfRule>
  </conditionalFormatting>
  <conditionalFormatting sqref="C119:O119">
    <cfRule type="expression" dxfId="63" priority="4">
      <formula>C119&lt;&gt;C87</formula>
    </cfRule>
  </conditionalFormatting>
  <conditionalFormatting sqref="G66:N66">
    <cfRule type="expression" dxfId="62" priority="2">
      <formula>G66&lt;&gt;0</formula>
    </cfRule>
  </conditionalFormatting>
  <conditionalFormatting sqref="G88:N88">
    <cfRule type="expression" dxfId="61" priority="1">
      <formula>G88&lt;&gt;0</formula>
    </cfRule>
  </conditionalFormatting>
  <hyperlinks>
    <hyperlink ref="B1" location="ÍNDICE!A1" display="BACK TO INDEX" xr:uid="{00000000-0004-0000-1F00-000000000000}"/>
  </hyperlinks>
  <pageMargins left="0.7" right="0.7" top="0.75" bottom="0.75" header="0.3" footer="0.3"/>
  <pageSetup scale="53" orientation="portrait" r:id="rId1"/>
  <rowBreaks count="1" manualBreakCount="1">
    <brk id="68" max="12" man="1"/>
  </rowBreaks>
  <colBreaks count="1" manualBreakCount="1">
    <brk id="17" min="1" max="150" man="1"/>
  </colBreak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tabColor rgb="FF92D050"/>
  </sheetPr>
  <dimension ref="A1:U85"/>
  <sheetViews>
    <sheetView showGridLines="0" zoomScaleNormal="100" workbookViewId="0">
      <pane ySplit="1" topLeftCell="A2" activePane="bottomLeft" state="frozen"/>
      <selection activeCell="B1" sqref="B1:C1"/>
      <selection pane="bottomLeft" activeCell="I84" sqref="I84"/>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8" width="18.85546875" style="3" customWidth="1"/>
    <col min="9" max="9" width="12.140625" style="57" customWidth="1"/>
    <col min="10" max="10" width="1" style="3" customWidth="1"/>
    <col min="11" max="12" width="5" style="3" hidden="1" customWidth="1"/>
    <col min="13" max="15" width="9.140625" style="3" hidden="1" customWidth="1"/>
    <col min="16" max="16" width="22" style="3" hidden="1" customWidth="1"/>
    <col min="17" max="21" width="18.140625" style="3" hidden="1" customWidth="1"/>
    <col min="22" max="16384" width="5" style="3" hidden="1"/>
  </cols>
  <sheetData>
    <row r="1" spans="1:10" ht="21" customHeight="1" x14ac:dyDescent="0.2">
      <c r="A1" s="2"/>
      <c r="B1" s="445" t="s">
        <v>29</v>
      </c>
      <c r="C1" s="446"/>
      <c r="D1" s="2"/>
      <c r="E1" s="2"/>
      <c r="F1" s="2"/>
      <c r="G1" s="2"/>
      <c r="H1" s="2"/>
      <c r="I1" s="56"/>
      <c r="J1" s="56"/>
    </row>
    <row r="2" spans="1:10" ht="15" customHeight="1" x14ac:dyDescent="0.2"/>
    <row r="3" spans="1:10" ht="15" customHeight="1" x14ac:dyDescent="0.25">
      <c r="E3" s="12" t="s">
        <v>37</v>
      </c>
      <c r="F3" s="186">
        <f>IF(COVER!E6&lt;&gt;"",COVER!E6,"")</f>
        <v>2021</v>
      </c>
    </row>
    <row r="4" spans="1:10" ht="15" customHeight="1" x14ac:dyDescent="0.2"/>
    <row r="5" spans="1:10" ht="20.25" customHeight="1" x14ac:dyDescent="0.2">
      <c r="B5" s="447" t="s">
        <v>4</v>
      </c>
      <c r="C5" s="448"/>
      <c r="D5" s="451" t="str">
        <f>IF(COVER!E8&lt;&gt;"",COVER!E8,"")</f>
        <v>POWER BLOX AFRICA, S.A.</v>
      </c>
      <c r="E5" s="374"/>
      <c r="F5" s="375"/>
    </row>
    <row r="6" spans="1:10" ht="15" customHeight="1" x14ac:dyDescent="0.2"/>
    <row r="7" spans="1:10" ht="15" customHeight="1" x14ac:dyDescent="0.2"/>
    <row r="8" spans="1:10" s="6" customFormat="1" ht="30.75" customHeight="1" x14ac:dyDescent="0.25">
      <c r="B8" s="376" t="s">
        <v>436</v>
      </c>
      <c r="C8" s="376"/>
      <c r="D8" s="377"/>
      <c r="E8" s="377"/>
      <c r="F8" s="377"/>
      <c r="G8" s="377"/>
      <c r="H8" s="377"/>
      <c r="I8" s="377"/>
    </row>
    <row r="9" spans="1:10" ht="15" customHeight="1" x14ac:dyDescent="0.25"/>
    <row r="10" spans="1:10" s="31" customFormat="1" ht="31.5" customHeight="1" x14ac:dyDescent="0.25">
      <c r="A10" s="3"/>
      <c r="B10" s="4"/>
      <c r="C10" s="4"/>
      <c r="D10" s="3"/>
      <c r="E10" s="3"/>
      <c r="F10" s="3"/>
      <c r="G10" s="3"/>
      <c r="H10" s="3"/>
      <c r="I10" s="57"/>
    </row>
    <row r="11" spans="1:10" ht="15" customHeight="1" x14ac:dyDescent="0.25">
      <c r="B11" s="71"/>
    </row>
    <row r="12" spans="1:10" ht="21" customHeight="1" x14ac:dyDescent="0.25"/>
    <row r="13" spans="1:10" ht="15" customHeight="1" x14ac:dyDescent="0.25"/>
    <row r="14" spans="1:10" ht="15" customHeight="1" x14ac:dyDescent="0.25"/>
    <row r="15" spans="1:10" ht="15" customHeight="1" x14ac:dyDescent="0.25"/>
    <row r="16" spans="1:10" ht="15" customHeight="1" x14ac:dyDescent="0.25"/>
    <row r="17" spans="1:15" s="57" customFormat="1" ht="15" customHeight="1" x14ac:dyDescent="0.25">
      <c r="A17" s="3"/>
      <c r="B17" s="4"/>
      <c r="C17" s="4"/>
      <c r="D17" s="3"/>
      <c r="E17" s="3"/>
      <c r="F17" s="3"/>
      <c r="G17" s="3"/>
      <c r="H17" s="3"/>
      <c r="J17" s="3"/>
      <c r="K17" s="3"/>
      <c r="L17" s="3"/>
      <c r="M17" s="3"/>
      <c r="N17" s="3"/>
      <c r="O17" s="3"/>
    </row>
    <row r="18" spans="1:15" s="57" customFormat="1" ht="15" customHeight="1" x14ac:dyDescent="0.25">
      <c r="A18" s="3"/>
      <c r="B18" s="4"/>
      <c r="C18" s="4"/>
      <c r="D18" s="3"/>
      <c r="E18" s="3"/>
      <c r="F18" s="3"/>
      <c r="G18" s="3"/>
      <c r="H18" s="3"/>
      <c r="I18" s="3"/>
      <c r="J18" s="4"/>
      <c r="K18" s="4"/>
      <c r="L18" s="3"/>
      <c r="M18" s="3"/>
      <c r="N18" s="3"/>
      <c r="O18" s="3"/>
    </row>
    <row r="19" spans="1:15" s="57" customFormat="1" ht="15" customHeight="1" x14ac:dyDescent="0.25">
      <c r="A19" s="3"/>
      <c r="B19" s="4"/>
      <c r="C19" s="4"/>
      <c r="D19" s="3"/>
      <c r="E19" s="3"/>
      <c r="F19" s="3"/>
      <c r="G19" s="3"/>
      <c r="H19" s="3"/>
      <c r="I19" s="3"/>
      <c r="J19" s="4"/>
      <c r="K19" s="4"/>
      <c r="L19" s="3"/>
      <c r="M19" s="3"/>
      <c r="N19" s="3"/>
      <c r="O19" s="3"/>
    </row>
    <row r="20" spans="1:15" s="57" customFormat="1" ht="15" customHeight="1" x14ac:dyDescent="0.25">
      <c r="A20" s="3"/>
      <c r="B20" s="4"/>
      <c r="C20" s="4"/>
      <c r="D20" s="3"/>
      <c r="E20" s="3"/>
      <c r="F20" s="3"/>
      <c r="G20" s="3"/>
      <c r="H20" s="3"/>
      <c r="J20" s="3"/>
      <c r="K20" s="3"/>
      <c r="L20" s="3"/>
      <c r="M20" s="3"/>
      <c r="N20" s="3"/>
      <c r="O20" s="3"/>
    </row>
    <row r="21" spans="1:15" ht="15" customHeight="1" x14ac:dyDescent="0.25"/>
    <row r="22" spans="1:15" ht="15" customHeight="1" x14ac:dyDescent="0.25"/>
    <row r="23" spans="1:15" ht="15" customHeight="1" x14ac:dyDescent="0.25"/>
    <row r="24" spans="1:15" ht="15" customHeight="1" x14ac:dyDescent="0.25"/>
    <row r="25" spans="1:15" ht="15" customHeight="1" x14ac:dyDescent="0.25"/>
    <row r="26" spans="1:15" ht="15" customHeight="1" x14ac:dyDescent="0.25"/>
    <row r="27" spans="1:15" ht="15" customHeight="1" x14ac:dyDescent="0.25"/>
    <row r="28" spans="1:15" ht="15" customHeight="1" x14ac:dyDescent="0.25"/>
    <row r="29" spans="1:15" ht="15" customHeight="1" x14ac:dyDescent="0.25"/>
    <row r="30" spans="1:15" ht="15" customHeight="1" x14ac:dyDescent="0.25"/>
    <row r="31" spans="1:15" ht="15" customHeight="1" x14ac:dyDescent="0.25"/>
    <row r="32" spans="1: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algorithmName="SHA-512" hashValue="ZYibPcHX3naCkf7GWbesJ/HKIvUSjVq3l7mV73CuRcruj1ws15TwXM+//q5S2JOd6ggPWnoiN7ZMFjeEsI95+Q==" saltValue="Y+HRnJH2OYVde4CZkE3ICw==" spinCount="100000" sheet="1" sort="0" autoFilter="0"/>
  <mergeCells count="4">
    <mergeCell ref="B1:C1"/>
    <mergeCell ref="B5:C5"/>
    <mergeCell ref="D5:F5"/>
    <mergeCell ref="B8:I8"/>
  </mergeCells>
  <hyperlinks>
    <hyperlink ref="B1" location="COVER!A1" display="BACK TO INDEX" xr:uid="{00000000-0004-0000-2000-000000000000}"/>
    <hyperlink ref="B1:C1" location="ÍNDICE!A1" display="BACK TO INDEX" xr:uid="{00000000-0004-0000-2000-000001000000}"/>
  </hyperlinks>
  <pageMargins left="0.7" right="0.7" top="0.75" bottom="0.75" header="0.3" footer="0.3"/>
  <pageSetup scale="51"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92D050"/>
  </sheetPr>
  <dimension ref="A3:M5"/>
  <sheetViews>
    <sheetView topLeftCell="E1" workbookViewId="0">
      <selection activeCell="L11" sqref="L11"/>
    </sheetView>
  </sheetViews>
  <sheetFormatPr defaultColWidth="10.85546875" defaultRowHeight="15" x14ac:dyDescent="0.25"/>
  <cols>
    <col min="1" max="1" width="23.28515625" style="366" customWidth="1"/>
    <col min="2" max="16384" width="10.85546875" style="366"/>
  </cols>
  <sheetData>
    <row r="3" spans="1:13" ht="24" customHeight="1" x14ac:dyDescent="0.2">
      <c r="B3" s="367" t="str">
        <f>'INFORMAÇÃO FINANCEIRA MENSAL'!C72</f>
        <v>JAN</v>
      </c>
      <c r="C3" s="367" t="str">
        <f>'INFORMAÇÃO FINANCEIRA MENSAL'!D72</f>
        <v>FEV</v>
      </c>
      <c r="D3" s="367" t="str">
        <f>'INFORMAÇÃO FINANCEIRA MENSAL'!E72</f>
        <v>MARCH</v>
      </c>
      <c r="E3" s="367" t="str">
        <f>'INFORMAÇÃO FINANCEIRA MENSAL'!F72</f>
        <v>APRIL</v>
      </c>
      <c r="F3" s="367" t="str">
        <f>'INFORMAÇÃO FINANCEIRA MENSAL'!G72</f>
        <v>MAY</v>
      </c>
      <c r="G3" s="367" t="str">
        <f>'INFORMAÇÃO FINANCEIRA MENSAL'!H72</f>
        <v>JUNE</v>
      </c>
      <c r="H3" s="367" t="str">
        <f>'INFORMAÇÃO FINANCEIRA MENSAL'!I72</f>
        <v>JULY</v>
      </c>
      <c r="I3" s="367" t="str">
        <f>'INFORMAÇÃO FINANCEIRA MENSAL'!J72</f>
        <v>AUGUST</v>
      </c>
      <c r="J3" s="367" t="str">
        <f>'INFORMAÇÃO FINANCEIRA MENSAL'!K72</f>
        <v>SEPTEMBER</v>
      </c>
      <c r="K3" s="367" t="str">
        <f>'INFORMAÇÃO FINANCEIRA MENSAL'!L72</f>
        <v>OCTOBER</v>
      </c>
      <c r="L3" s="367" t="str">
        <f>'INFORMAÇÃO FINANCEIRA MENSAL'!M72</f>
        <v>NOVEMBER</v>
      </c>
      <c r="M3" s="367" t="str">
        <f>'INFORMAÇÃO FINANCEIRA MENSAL'!N72</f>
        <v>DEZEMBER</v>
      </c>
    </row>
    <row r="4" spans="1:13" x14ac:dyDescent="0.2">
      <c r="A4" s="368" t="str">
        <f>'INFORMAÇÃO FINANCEIRA MENSAL'!B74</f>
        <v>Vendas de Bens e Serviços</v>
      </c>
      <c r="B4" s="366">
        <f>'INFORMAÇÃO FINANCEIRA MENSAL'!C74</f>
        <v>0</v>
      </c>
      <c r="C4" s="366">
        <f>'INFORMAÇÃO FINANCEIRA MENSAL'!D74</f>
        <v>0</v>
      </c>
      <c r="D4" s="366">
        <f>'INFORMAÇÃO FINANCEIRA MENSAL'!E74</f>
        <v>0</v>
      </c>
      <c r="E4" s="366">
        <f>'INFORMAÇÃO FINANCEIRA MENSAL'!F74</f>
        <v>0</v>
      </c>
      <c r="F4" s="366">
        <f>'INFORMAÇÃO FINANCEIRA MENSAL'!G74</f>
        <v>0</v>
      </c>
      <c r="G4" s="366">
        <f>'INFORMAÇÃO FINANCEIRA MENSAL'!H74</f>
        <v>0</v>
      </c>
      <c r="H4" s="366">
        <f>'INFORMAÇÃO FINANCEIRA MENSAL'!I74</f>
        <v>0</v>
      </c>
      <c r="I4" s="366">
        <f>'INFORMAÇÃO FINANCEIRA MENSAL'!J74</f>
        <v>0</v>
      </c>
      <c r="J4" s="366">
        <f>'INFORMAÇÃO FINANCEIRA MENSAL'!K74</f>
        <v>0</v>
      </c>
      <c r="K4" s="366">
        <f>'INFORMAÇÃO FINANCEIRA MENSAL'!L74</f>
        <v>0</v>
      </c>
      <c r="L4" s="366">
        <f>'INFORMAÇÃO FINANCEIRA MENSAL'!M74</f>
        <v>0</v>
      </c>
      <c r="M4" s="366">
        <f>'INFORMAÇÃO FINANCEIRA MENSAL'!N74</f>
        <v>0</v>
      </c>
    </row>
    <row r="5" spans="1:13" x14ac:dyDescent="0.2">
      <c r="A5" s="368" t="s">
        <v>735</v>
      </c>
      <c r="B5" s="369" t="e">
        <f>(C4-B4)/B4</f>
        <v>#DIV/0!</v>
      </c>
      <c r="C5" s="369" t="e">
        <f t="shared" ref="C5:M5" si="0">(D4-C4)/C4</f>
        <v>#DIV/0!</v>
      </c>
      <c r="D5" s="369" t="e">
        <f t="shared" si="0"/>
        <v>#DIV/0!</v>
      </c>
      <c r="E5" s="369" t="e">
        <f t="shared" si="0"/>
        <v>#DIV/0!</v>
      </c>
      <c r="F5" s="369" t="e">
        <f t="shared" si="0"/>
        <v>#DIV/0!</v>
      </c>
      <c r="G5" s="369" t="e">
        <f t="shared" si="0"/>
        <v>#DIV/0!</v>
      </c>
      <c r="H5" s="369" t="e">
        <f t="shared" si="0"/>
        <v>#DIV/0!</v>
      </c>
      <c r="I5" s="369" t="e">
        <f t="shared" si="0"/>
        <v>#DIV/0!</v>
      </c>
      <c r="J5" s="369" t="e">
        <f t="shared" si="0"/>
        <v>#DIV/0!</v>
      </c>
      <c r="K5" s="369" t="e">
        <f t="shared" si="0"/>
        <v>#DIV/0!</v>
      </c>
      <c r="L5" s="369" t="e">
        <f t="shared" si="0"/>
        <v>#DIV/0!</v>
      </c>
      <c r="M5" s="369" t="e">
        <f t="shared" si="0"/>
        <v>#DIV/0!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rgb="FF92D050"/>
  </sheetPr>
  <dimension ref="A1:U44"/>
  <sheetViews>
    <sheetView showGridLines="0" zoomScaleNormal="100" workbookViewId="0">
      <pane ySplit="1" topLeftCell="A2" activePane="bottomLeft" state="frozen"/>
      <selection activeCell="B1" sqref="B1:C1"/>
      <selection pane="bottomLeft" activeCell="I43" sqref="I43"/>
    </sheetView>
  </sheetViews>
  <sheetFormatPr defaultColWidth="0" defaultRowHeight="15" customHeight="1" zeroHeight="1" x14ac:dyDescent="0.25"/>
  <cols>
    <col min="1" max="1" width="1.140625" style="3" customWidth="1"/>
    <col min="2" max="2" width="10" style="4" customWidth="1"/>
    <col min="3" max="3" width="55.42578125" style="4" bestFit="1" customWidth="1"/>
    <col min="4" max="8" width="18.85546875" style="3" customWidth="1"/>
    <col min="9" max="9" width="12.140625" style="57" customWidth="1"/>
    <col min="10" max="10" width="1" style="3" customWidth="1"/>
    <col min="11" max="12" width="5" style="3" hidden="1" customWidth="1"/>
    <col min="13" max="15" width="9.140625" style="3" hidden="1" customWidth="1"/>
    <col min="16" max="16" width="22" style="3" hidden="1" customWidth="1"/>
    <col min="17" max="21" width="18.140625" style="3" hidden="1" customWidth="1"/>
    <col min="22" max="16384" width="5" style="3" hidden="1"/>
  </cols>
  <sheetData>
    <row r="1" spans="1:16" ht="21" customHeight="1" x14ac:dyDescent="0.2">
      <c r="A1" s="2"/>
      <c r="B1" s="445" t="s">
        <v>29</v>
      </c>
      <c r="C1" s="446"/>
      <c r="D1" s="2"/>
      <c r="E1" s="2"/>
      <c r="F1" s="2"/>
      <c r="G1" s="2"/>
      <c r="H1" s="2"/>
      <c r="I1" s="56"/>
      <c r="J1" s="56"/>
    </row>
    <row r="2" spans="1:16" ht="15" customHeight="1" x14ac:dyDescent="0.2"/>
    <row r="3" spans="1:16" ht="15" customHeight="1" x14ac:dyDescent="0.25">
      <c r="E3" s="12" t="s">
        <v>37</v>
      </c>
      <c r="F3" s="186">
        <f>IF(COVER!E6&lt;&gt;"",COVER!E6,"")</f>
        <v>2021</v>
      </c>
    </row>
    <row r="4" spans="1:16" ht="15" customHeight="1" x14ac:dyDescent="0.2"/>
    <row r="5" spans="1:16" ht="20.25" customHeight="1" x14ac:dyDescent="0.2">
      <c r="B5" s="447" t="s">
        <v>4</v>
      </c>
      <c r="C5" s="448"/>
      <c r="D5" s="451" t="str">
        <f>IF(COVER!E8&lt;&gt;"",COVER!E8,"")</f>
        <v>POWER BLOX AFRICA, S.A.</v>
      </c>
      <c r="E5" s="374"/>
      <c r="F5" s="375"/>
    </row>
    <row r="6" spans="1:16" ht="15" customHeight="1" x14ac:dyDescent="0.2"/>
    <row r="7" spans="1:16" ht="15" customHeight="1" x14ac:dyDescent="0.2"/>
    <row r="8" spans="1:16" s="6" customFormat="1" ht="30.75" customHeight="1" x14ac:dyDescent="0.25">
      <c r="B8" s="376" t="s">
        <v>459</v>
      </c>
      <c r="C8" s="376"/>
      <c r="D8" s="377"/>
      <c r="E8" s="377"/>
      <c r="F8" s="377"/>
      <c r="G8" s="377"/>
      <c r="H8" s="377"/>
      <c r="I8" s="377"/>
    </row>
    <row r="9" spans="1:16" ht="15" customHeight="1" x14ac:dyDescent="0.25"/>
    <row r="10" spans="1:16" s="31" customFormat="1" ht="31.5" customHeight="1" x14ac:dyDescent="0.25">
      <c r="A10" s="3"/>
      <c r="B10" s="4"/>
      <c r="C10" s="4"/>
      <c r="D10" s="3"/>
      <c r="E10" s="3"/>
      <c r="F10" s="3"/>
      <c r="G10" s="3"/>
      <c r="H10" s="3"/>
      <c r="I10" s="57"/>
    </row>
    <row r="11" spans="1:16" ht="15" customHeight="1" x14ac:dyDescent="0.25">
      <c r="B11" s="71"/>
    </row>
    <row r="12" spans="1:16" ht="21" customHeight="1" x14ac:dyDescent="0.25">
      <c r="P12" s="3" t="s">
        <v>124</v>
      </c>
    </row>
    <row r="13" spans="1:16" ht="15" customHeight="1" x14ac:dyDescent="0.25">
      <c r="P13" s="3" t="s">
        <v>126</v>
      </c>
    </row>
    <row r="14" spans="1:16" ht="15" customHeight="1" x14ac:dyDescent="0.25"/>
    <row r="15" spans="1:16" ht="15" customHeight="1" x14ac:dyDescent="0.25"/>
    <row r="16" spans="1:16" ht="15" customHeight="1" x14ac:dyDescent="0.25"/>
    <row r="17" spans="1:15" s="57" customFormat="1" ht="15" customHeight="1" x14ac:dyDescent="0.25">
      <c r="A17" s="3"/>
      <c r="B17" s="4"/>
      <c r="C17" s="4"/>
      <c r="D17" s="3"/>
      <c r="E17" s="3"/>
      <c r="F17" s="3"/>
      <c r="G17" s="3"/>
      <c r="H17" s="3"/>
      <c r="J17" s="3"/>
      <c r="K17" s="3"/>
      <c r="L17" s="3"/>
      <c r="M17" s="3"/>
      <c r="N17" s="3"/>
      <c r="O17" s="3"/>
    </row>
    <row r="18" spans="1:15" s="57" customFormat="1" ht="15" customHeight="1" x14ac:dyDescent="0.25">
      <c r="A18" s="3"/>
      <c r="B18" s="4"/>
      <c r="C18" s="4"/>
      <c r="D18" s="3"/>
      <c r="E18" s="3"/>
      <c r="F18" s="3"/>
      <c r="G18" s="3"/>
      <c r="H18" s="3"/>
      <c r="I18" s="3"/>
      <c r="J18" s="4"/>
      <c r="K18" s="4"/>
      <c r="L18" s="3"/>
      <c r="M18" s="3"/>
      <c r="N18" s="3"/>
      <c r="O18" s="3"/>
    </row>
    <row r="19" spans="1:15" s="57" customFormat="1" ht="15" customHeight="1" x14ac:dyDescent="0.25">
      <c r="A19" s="3"/>
      <c r="B19" s="4"/>
      <c r="C19" s="4"/>
      <c r="D19" s="3"/>
      <c r="E19" s="3"/>
      <c r="F19" s="3"/>
      <c r="G19" s="3"/>
      <c r="H19" s="3"/>
      <c r="I19" s="3"/>
      <c r="J19" s="4"/>
      <c r="K19" s="4"/>
      <c r="L19" s="3"/>
      <c r="M19" s="3"/>
      <c r="N19" s="3"/>
      <c r="O19" s="3"/>
    </row>
    <row r="20" spans="1:15" s="57" customFormat="1" ht="15" customHeight="1" x14ac:dyDescent="0.25">
      <c r="A20" s="3"/>
      <c r="B20" s="4"/>
      <c r="C20" s="4"/>
      <c r="D20" s="3"/>
      <c r="E20" s="3"/>
      <c r="F20" s="3"/>
      <c r="G20" s="3"/>
      <c r="H20" s="3"/>
      <c r="J20" s="3"/>
      <c r="K20" s="3"/>
      <c r="L20" s="3"/>
      <c r="M20" s="3"/>
      <c r="N20" s="3"/>
      <c r="O20" s="3"/>
    </row>
    <row r="21" spans="1:15" ht="15" customHeight="1" x14ac:dyDescent="0.25"/>
    <row r="22" spans="1:15" ht="15" customHeight="1" x14ac:dyDescent="0.25"/>
    <row r="23" spans="1:15" ht="15" customHeight="1" x14ac:dyDescent="0.25"/>
    <row r="24" spans="1:15" ht="15" customHeight="1" x14ac:dyDescent="0.25"/>
    <row r="25" spans="1:15" ht="15" customHeight="1" x14ac:dyDescent="0.25"/>
    <row r="26" spans="1:15" ht="15" customHeight="1" x14ac:dyDescent="0.25"/>
    <row r="27" spans="1:15" ht="15" customHeight="1" x14ac:dyDescent="0.25"/>
    <row r="28" spans="1:15" ht="15" customHeight="1" x14ac:dyDescent="0.25"/>
    <row r="29" spans="1:15" ht="15" customHeight="1" x14ac:dyDescent="0.25"/>
    <row r="30" spans="1:15" ht="15" customHeight="1" x14ac:dyDescent="0.25"/>
    <row r="31" spans="1:15" ht="15" customHeight="1" x14ac:dyDescent="0.25"/>
    <row r="32" spans="1:15"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sheetData>
  <sheetProtection algorithmName="SHA-512" hashValue="bN9HXsAbbgptPlaQlCC6SHDTAkJC3iQ7YsYCsyUTREC1fokcYErMNSvlpFTFWPeQ8ytOvhRZFV9Z3eVYPU834g==" saltValue="aPvpSvTsvA5Fna3+A+cpUw==" spinCount="100000" sheet="1" sort="0" autoFilter="0"/>
  <mergeCells count="4">
    <mergeCell ref="B1:C1"/>
    <mergeCell ref="B5:C5"/>
    <mergeCell ref="D5:F5"/>
    <mergeCell ref="B8:I8"/>
  </mergeCells>
  <hyperlinks>
    <hyperlink ref="B1" location="COVER!A1" display="BACK TO INDEX" xr:uid="{00000000-0004-0000-2200-000000000000}"/>
    <hyperlink ref="B1:C1" location="ÍNDICE!A1" display="BACK TO INDEX" xr:uid="{00000000-0004-0000-2200-000001000000}"/>
  </hyperlinks>
  <pageMargins left="0.7" right="0.7" top="0.75" bottom="0.75" header="0.3" footer="0.3"/>
  <pageSetup scale="51"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tabColor rgb="FF92D050"/>
  </sheetPr>
  <dimension ref="A1:J70"/>
  <sheetViews>
    <sheetView showGridLines="0" zoomScaleNormal="100" workbookViewId="0">
      <pane ySplit="1" topLeftCell="A2" activePane="bottomLeft" state="frozen"/>
      <selection activeCell="B1" sqref="B1:C1"/>
      <selection pane="bottomLeft" activeCell="C23" sqref="C23"/>
    </sheetView>
  </sheetViews>
  <sheetFormatPr defaultColWidth="0" defaultRowHeight="15" customHeight="1" zeroHeight="1" x14ac:dyDescent="0.25"/>
  <cols>
    <col min="1" max="1" width="1.140625" style="3" customWidth="1"/>
    <col min="2" max="2" width="10" style="4" hidden="1" customWidth="1"/>
    <col min="3" max="3" width="55.42578125" style="4" bestFit="1" customWidth="1"/>
    <col min="4" max="8" width="18.85546875" style="3" customWidth="1"/>
    <col min="9" max="9" width="12.140625" style="57" customWidth="1"/>
    <col min="10" max="10" width="1" style="3" customWidth="1"/>
    <col min="11" max="16384" width="4.42578125" style="3" hidden="1"/>
  </cols>
  <sheetData>
    <row r="1" spans="1:10" ht="21" customHeight="1" x14ac:dyDescent="0.2">
      <c r="A1" s="2"/>
      <c r="C1" s="167" t="s">
        <v>29</v>
      </c>
      <c r="D1" s="2"/>
      <c r="E1" s="2"/>
      <c r="F1" s="2"/>
      <c r="G1" s="2"/>
      <c r="H1" s="2"/>
      <c r="I1" s="56"/>
      <c r="J1" s="56"/>
    </row>
    <row r="2" spans="1:10" ht="15" customHeight="1" x14ac:dyDescent="0.2"/>
    <row r="3" spans="1:10" ht="15" customHeight="1" x14ac:dyDescent="0.25">
      <c r="E3" s="12" t="s">
        <v>37</v>
      </c>
      <c r="F3" s="186">
        <f>IF(COVER!E6&lt;&gt;"",COVER!E6,"")</f>
        <v>2021</v>
      </c>
    </row>
    <row r="4" spans="1:10" ht="15" customHeight="1" x14ac:dyDescent="0.2"/>
    <row r="5" spans="1:10" ht="20.25" customHeight="1" x14ac:dyDescent="0.2">
      <c r="C5" s="5" t="s">
        <v>4</v>
      </c>
      <c r="D5" s="373" t="str">
        <f>IF(COVER!E8&lt;&gt;"",COVER!E8,"")</f>
        <v>POWER BLOX AFRICA, S.A.</v>
      </c>
      <c r="E5" s="374"/>
      <c r="F5" s="375"/>
    </row>
    <row r="6" spans="1:10" ht="15" customHeight="1" x14ac:dyDescent="0.2"/>
    <row r="7" spans="1:10" ht="15" customHeight="1" x14ac:dyDescent="0.2"/>
    <row r="8" spans="1:10" s="6" customFormat="1" ht="30.75" customHeight="1" x14ac:dyDescent="0.25">
      <c r="C8" s="376" t="s">
        <v>438</v>
      </c>
      <c r="D8" s="377"/>
      <c r="E8" s="377"/>
      <c r="F8" s="377"/>
      <c r="G8" s="377"/>
      <c r="H8" s="377"/>
      <c r="I8" s="377"/>
    </row>
    <row r="9" spans="1:10" ht="15" customHeight="1" x14ac:dyDescent="0.25">
      <c r="H9" s="122" t="s">
        <v>432</v>
      </c>
      <c r="I9" s="121" t="str">
        <f>IF(COVER!$K$6&lt;&gt;"",CONCATENATE("milhares ",COVER!$K$6),"")</f>
        <v>milhares MZN</v>
      </c>
    </row>
    <row r="10" spans="1:10" s="31" customFormat="1" ht="31.5" customHeight="1" x14ac:dyDescent="0.25">
      <c r="B10" s="67"/>
      <c r="C10" s="102"/>
      <c r="D10" s="68">
        <f>IF(E10&lt;&gt;"",E10-1,"")</f>
        <v>2017</v>
      </c>
      <c r="E10" s="68">
        <f>IF(F10&lt;&gt;"",F10-1,"")</f>
        <v>2018</v>
      </c>
      <c r="F10" s="68">
        <f>IF(G10&lt;&gt;"",G10-1,"")</f>
        <v>2019</v>
      </c>
      <c r="G10" s="68">
        <f>IF(H10&lt;&gt;"",H10-1,"")</f>
        <v>2020</v>
      </c>
      <c r="H10" s="69">
        <f>$F$3</f>
        <v>2021</v>
      </c>
      <c r="I10" s="70" t="str">
        <f>IF(AND(G10&lt;&gt;"",H10&lt;&gt;""),"PESO","")</f>
        <v>PESO</v>
      </c>
    </row>
    <row r="11" spans="1:10" ht="15" customHeight="1" x14ac:dyDescent="0.25">
      <c r="B11" s="71"/>
    </row>
    <row r="12" spans="1:10" ht="15" customHeight="1" x14ac:dyDescent="0.25">
      <c r="B12" s="77" t="s">
        <v>439</v>
      </c>
      <c r="C12" s="48" t="str">
        <f>IFERROR(IF(INDEX('DETALHE GANHOS E GASTOS'!$C$31:$C$66,MATCH($B12,'DETALHE GANHOS E GASTOS'!$Z$31:$Z$66,0))=0,"",INDEX('DETALHE GANHOS E GASTOS'!$C$31:$C$66,MATCH($B12,'DETALHE GANHOS E GASTOS'!$Z$31:$Z$66,0))),"")</f>
        <v>Trabalhos especializados</v>
      </c>
      <c r="D12" s="224">
        <f>IFERROR(IF($C12="","",INDEX('DETALHE GANHOS E GASTOS'!$C$31:$H$66,MATCH($C12,'DETALHE GANHOS E GASTOS'!$C$31:$C$66,0),2)),"")</f>
        <v>0</v>
      </c>
      <c r="E12" s="224">
        <f>IFERROR(IF($C12="","",INDEX('DETALHE GANHOS E GASTOS'!$C$31:$H$66,MATCH($C12,'DETALHE GANHOS E GASTOS'!$C$31:$C$66,0),3)),"")</f>
        <v>0</v>
      </c>
      <c r="F12" s="224">
        <f>IFERROR(IF($C12="","",INDEX('DETALHE GANHOS E GASTOS'!$C$31:$H$66,MATCH($C12,'DETALHE GANHOS E GASTOS'!$C$31:$C$66,0),4)),"")</f>
        <v>0</v>
      </c>
      <c r="G12" s="224">
        <f>IFERROR(IF($C12="","",INDEX('DETALHE GANHOS E GASTOS'!$C$31:$H$66,MATCH($C12,'DETALHE GANHOS E GASTOS'!$C$31:$C$66,0),5)),"")</f>
        <v>0</v>
      </c>
      <c r="H12" s="115">
        <f>IFERROR(IF($C12="","",INDEX('DETALHE GANHOS E GASTOS'!$C$31:$H$66,MATCH($C12,'DETALHE GANHOS E GASTOS'!$C$31:$C$66,0),6)),"")</f>
        <v>562838</v>
      </c>
      <c r="I12" s="214">
        <f>IFERROR(IF(C12&lt;&gt;"",H12/$H$28,""),"")</f>
        <v>0.31648213839852901</v>
      </c>
    </row>
    <row r="13" spans="1:10" ht="15" customHeight="1" x14ac:dyDescent="0.25">
      <c r="B13" s="77" t="s">
        <v>440</v>
      </c>
      <c r="C13" s="48" t="str">
        <f>IFERROR(IF(INDEX('DETALHE GANHOS E GASTOS'!$C$31:$C$66,MATCH($B13,'DETALHE GANHOS E GASTOS'!$Z$31:$Z$66,0))=0,"",INDEX('DETALHE GANHOS E GASTOS'!$C$31:$C$66,MATCH($B13,'DETALHE GANHOS E GASTOS'!$Z$31:$Z$66,0))),"")</f>
        <v>Rendas e alugueres</v>
      </c>
      <c r="D13" s="224">
        <f>IFERROR(IF($C13="","",INDEX('DETALHE GANHOS E GASTOS'!$C$31:$H$66,MATCH($C13,'DETALHE GANHOS E GASTOS'!$C$31:$C$66,0),2)),"")</f>
        <v>0</v>
      </c>
      <c r="E13" s="224">
        <f>IFERROR(IF($C13="","",INDEX('DETALHE GANHOS E GASTOS'!$C$31:$H$66,MATCH($C13,'DETALHE GANHOS E GASTOS'!$C$31:$C$66,0),3)),"")</f>
        <v>0</v>
      </c>
      <c r="F13" s="224">
        <f>IFERROR(IF($C13="","",INDEX('DETALHE GANHOS E GASTOS'!$C$31:$H$66,MATCH($C13,'DETALHE GANHOS E GASTOS'!$C$31:$C$66,0),4)),"")</f>
        <v>0</v>
      </c>
      <c r="G13" s="224">
        <f>IFERROR(IF($C13="","",INDEX('DETALHE GANHOS E GASTOS'!$C$31:$H$66,MATCH($C13,'DETALHE GANHOS E GASTOS'!$C$31:$C$66,0),5)),"")</f>
        <v>0</v>
      </c>
      <c r="H13" s="115">
        <f>IFERROR(IF($C13="","",INDEX('DETALHE GANHOS E GASTOS'!$C$31:$H$66,MATCH($C13,'DETALHE GANHOS E GASTOS'!$C$31:$C$66,0),6)),"")</f>
        <v>353463.77</v>
      </c>
      <c r="I13" s="214">
        <f t="shared" ref="I13:I27" si="0">IFERROR(IF(C13&lt;&gt;"",H13/$H$28,""),"")</f>
        <v>0.19875162973361044</v>
      </c>
    </row>
    <row r="14" spans="1:10" ht="15" customHeight="1" x14ac:dyDescent="0.25">
      <c r="B14" s="77" t="s">
        <v>441</v>
      </c>
      <c r="C14" s="48" t="str">
        <f>IFERROR(IF(INDEX('DETALHE GANHOS E GASTOS'!$C$31:$C$66,MATCH($B14,'DETALHE GANHOS E GASTOS'!$Z$31:$Z$66,0))=0,"",INDEX('DETALHE GANHOS E GASTOS'!$C$31:$C$66,MATCH($B14,'DETALHE GANHOS E GASTOS'!$Z$31:$Z$66,0))),"")</f>
        <v>Despesas de representação</v>
      </c>
      <c r="D14" s="224">
        <f>IFERROR(IF($C14="","",INDEX('DETALHE GANHOS E GASTOS'!$C$31:$H$66,MATCH($C14,'DETALHE GANHOS E GASTOS'!$C$31:$C$66,0),2)),"")</f>
        <v>0</v>
      </c>
      <c r="E14" s="224">
        <f>IFERROR(IF($C14="","",INDEX('DETALHE GANHOS E GASTOS'!$C$31:$H$66,MATCH($C14,'DETALHE GANHOS E GASTOS'!$C$31:$C$66,0),3)),"")</f>
        <v>0</v>
      </c>
      <c r="F14" s="224">
        <f>IFERROR(IF($C14="","",INDEX('DETALHE GANHOS E GASTOS'!$C$31:$H$66,MATCH($C14,'DETALHE GANHOS E GASTOS'!$C$31:$C$66,0),4)),"")</f>
        <v>0</v>
      </c>
      <c r="G14" s="224">
        <f>IFERROR(IF($C14="","",INDEX('DETALHE GANHOS E GASTOS'!$C$31:$H$66,MATCH($C14,'DETALHE GANHOS E GASTOS'!$C$31:$C$66,0),5)),"")</f>
        <v>0</v>
      </c>
      <c r="H14" s="115">
        <f>IFERROR(IF($C14="","",INDEX('DETALHE GANHOS E GASTOS'!$C$31:$H$66,MATCH($C14,'DETALHE GANHOS E GASTOS'!$C$31:$C$66,0),6)),"")</f>
        <v>318400.21999999997</v>
      </c>
      <c r="I14" s="214">
        <f t="shared" si="0"/>
        <v>0.17903549954367345</v>
      </c>
    </row>
    <row r="15" spans="1:10" ht="15" customHeight="1" x14ac:dyDescent="0.25">
      <c r="B15" s="77" t="s">
        <v>442</v>
      </c>
      <c r="C15" s="48" t="str">
        <f>IFERROR(IF(INDEX('DETALHE GANHOS E GASTOS'!$C$31:$C$66,MATCH($B15,'DETALHE GANHOS E GASTOS'!$Z$31:$Z$66,0))=0,"",INDEX('DETALHE GANHOS E GASTOS'!$C$31:$C$66,MATCH($B15,'DETALHE GANHOS E GASTOS'!$Z$31:$Z$66,0))),"")</f>
        <v>Manutenção e reparação</v>
      </c>
      <c r="D15" s="224">
        <f>IFERROR(IF($C15="","",INDEX('DETALHE GANHOS E GASTOS'!$C$31:$H$66,MATCH($C15,'DETALHE GANHOS E GASTOS'!$C$31:$C$66,0),2)),"")</f>
        <v>0</v>
      </c>
      <c r="E15" s="224">
        <f>IFERROR(IF($C15="","",INDEX('DETALHE GANHOS E GASTOS'!$C$31:$H$66,MATCH($C15,'DETALHE GANHOS E GASTOS'!$C$31:$C$66,0),3)),"")</f>
        <v>0</v>
      </c>
      <c r="F15" s="224">
        <f>IFERROR(IF($C15="","",INDEX('DETALHE GANHOS E GASTOS'!$C$31:$H$66,MATCH($C15,'DETALHE GANHOS E GASTOS'!$C$31:$C$66,0),4)),"")</f>
        <v>0</v>
      </c>
      <c r="G15" s="224">
        <f>IFERROR(IF($C15="","",INDEX('DETALHE GANHOS E GASTOS'!$C$31:$H$66,MATCH($C15,'DETALHE GANHOS E GASTOS'!$C$31:$C$66,0),5)),"")</f>
        <v>0</v>
      </c>
      <c r="H15" s="115">
        <f>IFERROR(IF($C15="","",INDEX('DETALHE GANHOS E GASTOS'!$C$31:$H$66,MATCH($C15,'DETALHE GANHOS E GASTOS'!$C$31:$C$66,0),6)),"")</f>
        <v>131900</v>
      </c>
      <c r="I15" s="214">
        <f t="shared" si="0"/>
        <v>7.4166978872723555E-2</v>
      </c>
    </row>
    <row r="16" spans="1:10" ht="15" customHeight="1" x14ac:dyDescent="0.25">
      <c r="B16" s="77" t="s">
        <v>443</v>
      </c>
      <c r="C16" s="48" t="str">
        <f>IFERROR(IF(INDEX('DETALHE GANHOS E GASTOS'!$C$31:$C$66,MATCH($B16,'DETALHE GANHOS E GASTOS'!$Z$31:$Z$66,0))=0,"",INDEX('DETALHE GANHOS E GASTOS'!$C$31:$C$66,MATCH($B16,'DETALHE GANHOS E GASTOS'!$Z$31:$Z$66,0))),"")</f>
        <v xml:space="preserve">Combustíveis </v>
      </c>
      <c r="D16" s="224">
        <f>IFERROR(IF($C16="","",INDEX('DETALHE GANHOS E GASTOS'!$C$31:$H$66,MATCH($C16,'DETALHE GANHOS E GASTOS'!$C$31:$C$66,0),2)),"")</f>
        <v>0</v>
      </c>
      <c r="E16" s="224">
        <f>IFERROR(IF($C16="","",INDEX('DETALHE GANHOS E GASTOS'!$C$31:$H$66,MATCH($C16,'DETALHE GANHOS E GASTOS'!$C$31:$C$66,0),3)),"")</f>
        <v>0</v>
      </c>
      <c r="F16" s="224">
        <f>IFERROR(IF($C16="","",INDEX('DETALHE GANHOS E GASTOS'!$C$31:$H$66,MATCH($C16,'DETALHE GANHOS E GASTOS'!$C$31:$C$66,0),4)),"")</f>
        <v>0</v>
      </c>
      <c r="G16" s="224">
        <f>IFERROR(IF($C16="","",INDEX('DETALHE GANHOS E GASTOS'!$C$31:$H$66,MATCH($C16,'DETALHE GANHOS E GASTOS'!$C$31:$C$66,0),5)),"")</f>
        <v>0</v>
      </c>
      <c r="H16" s="115">
        <f>IFERROR(IF($C16="","",INDEX('DETALHE GANHOS E GASTOS'!$C$31:$H$66,MATCH($C16,'DETALHE GANHOS E GASTOS'!$C$31:$C$66,0),6)),"")</f>
        <v>119613.19</v>
      </c>
      <c r="I16" s="214">
        <f t="shared" si="0"/>
        <v>6.7258142044193087E-2</v>
      </c>
    </row>
    <row r="17" spans="2:9" ht="15" customHeight="1" x14ac:dyDescent="0.25">
      <c r="B17" s="77" t="s">
        <v>444</v>
      </c>
      <c r="C17" s="48" t="str">
        <f>IFERROR(IF(INDEX('DETALHE GANHOS E GASTOS'!$C$31:$C$66,MATCH($B17,'DETALHE GANHOS E GASTOS'!$Z$31:$Z$66,0))=0,"",INDEX('DETALHE GANHOS E GASTOS'!$C$31:$C$66,MATCH($B17,'DETALHE GANHOS E GASTOS'!$Z$31:$Z$66,0))),"")</f>
        <v>Outros fornecimentos e serviços</v>
      </c>
      <c r="D17" s="224">
        <f>IFERROR(IF($C17="","",INDEX('DETALHE GANHOS E GASTOS'!$C$31:$H$66,MATCH($C17,'DETALHE GANHOS E GASTOS'!$C$31:$C$66,0),2)),"")</f>
        <v>0</v>
      </c>
      <c r="E17" s="224">
        <f>IFERROR(IF($C17="","",INDEX('DETALHE GANHOS E GASTOS'!$C$31:$H$66,MATCH($C17,'DETALHE GANHOS E GASTOS'!$C$31:$C$66,0),3)),"")</f>
        <v>0</v>
      </c>
      <c r="F17" s="224">
        <f>IFERROR(IF($C17="","",INDEX('DETALHE GANHOS E GASTOS'!$C$31:$H$66,MATCH($C17,'DETALHE GANHOS E GASTOS'!$C$31:$C$66,0),4)),"")</f>
        <v>0</v>
      </c>
      <c r="G17" s="224">
        <f>IFERROR(IF($C17="","",INDEX('DETALHE GANHOS E GASTOS'!$C$31:$H$66,MATCH($C17,'DETALHE GANHOS E GASTOS'!$C$31:$C$66,0),5)),"")</f>
        <v>0</v>
      </c>
      <c r="H17" s="115">
        <f>IFERROR(IF($C17="","",INDEX('DETALHE GANHOS E GASTOS'!$C$31:$H$66,MATCH($C17,'DETALHE GANHOS E GASTOS'!$C$31:$C$66,0),6)),"")</f>
        <v>116258.5</v>
      </c>
      <c r="I17" s="214">
        <f t="shared" si="0"/>
        <v>6.5371809804962322E-2</v>
      </c>
    </row>
    <row r="18" spans="2:9" ht="15" customHeight="1" x14ac:dyDescent="0.25">
      <c r="B18" s="77" t="s">
        <v>445</v>
      </c>
      <c r="C18" s="48" t="str">
        <f>IFERROR(IF(INDEX('DETALHE GANHOS E GASTOS'!$C$31:$C$66,MATCH($B18,'DETALHE GANHOS E GASTOS'!$Z$31:$Z$66,0))=0,"",INDEX('DETALHE GANHOS E GASTOS'!$C$31:$C$66,MATCH($B18,'DETALHE GANHOS E GASTOS'!$Z$31:$Z$66,0))),"")</f>
        <v>Comunicações</v>
      </c>
      <c r="D18" s="224">
        <f>IFERROR(IF($C18="","",INDEX('DETALHE GANHOS E GASTOS'!$C$31:$H$66,MATCH($C18,'DETALHE GANHOS E GASTOS'!$C$31:$C$66,0),2)),"")</f>
        <v>0</v>
      </c>
      <c r="E18" s="224">
        <f>IFERROR(IF($C18="","",INDEX('DETALHE GANHOS E GASTOS'!$C$31:$H$66,MATCH($C18,'DETALHE GANHOS E GASTOS'!$C$31:$C$66,0),3)),"")</f>
        <v>0</v>
      </c>
      <c r="F18" s="224">
        <f>IFERROR(IF($C18="","",INDEX('DETALHE GANHOS E GASTOS'!$C$31:$H$66,MATCH($C18,'DETALHE GANHOS E GASTOS'!$C$31:$C$66,0),4)),"")</f>
        <v>0</v>
      </c>
      <c r="G18" s="224">
        <f>IFERROR(IF($C18="","",INDEX('DETALHE GANHOS E GASTOS'!$C$31:$H$66,MATCH($C18,'DETALHE GANHOS E GASTOS'!$C$31:$C$66,0),5)),"")</f>
        <v>0</v>
      </c>
      <c r="H18" s="115">
        <f>IFERROR(IF($C18="","",INDEX('DETALHE GANHOS E GASTOS'!$C$31:$H$66,MATCH($C18,'DETALHE GANHOS E GASTOS'!$C$31:$C$66,0),6)),"")</f>
        <v>75463.05</v>
      </c>
      <c r="I18" s="214">
        <f t="shared" si="0"/>
        <v>4.2432649242011226E-2</v>
      </c>
    </row>
    <row r="19" spans="2:9" ht="15" customHeight="1" x14ac:dyDescent="0.25">
      <c r="B19" s="77" t="s">
        <v>446</v>
      </c>
      <c r="C19" s="48" t="str">
        <f>IFERROR(IF(INDEX('DETALHE GANHOS E GASTOS'!$C$31:$C$66,MATCH($B19,'DETALHE GANHOS E GASTOS'!$Z$31:$Z$66,0))=0,"",INDEX('DETALHE GANHOS E GASTOS'!$C$31:$C$66,MATCH($B19,'DETALHE GANHOS E GASTOS'!$Z$31:$Z$66,0))),"")</f>
        <v>Ferramentas e utensílios de desgaste rápido</v>
      </c>
      <c r="D19" s="224">
        <f>IFERROR(IF($C19="","",INDEX('DETALHE GANHOS E GASTOS'!$C$31:$H$66,MATCH($C19,'DETALHE GANHOS E GASTOS'!$C$31:$C$66,0),2)),"")</f>
        <v>0</v>
      </c>
      <c r="E19" s="224">
        <f>IFERROR(IF($C19="","",INDEX('DETALHE GANHOS E GASTOS'!$C$31:$H$66,MATCH($C19,'DETALHE GANHOS E GASTOS'!$C$31:$C$66,0),3)),"")</f>
        <v>0</v>
      </c>
      <c r="F19" s="224">
        <f>IFERROR(IF($C19="","",INDEX('DETALHE GANHOS E GASTOS'!$C$31:$H$66,MATCH($C19,'DETALHE GANHOS E GASTOS'!$C$31:$C$66,0),4)),"")</f>
        <v>0</v>
      </c>
      <c r="G19" s="224">
        <f>IFERROR(IF($C19="","",INDEX('DETALHE GANHOS E GASTOS'!$C$31:$H$66,MATCH($C19,'DETALHE GANHOS E GASTOS'!$C$31:$C$66,0),5)),"")</f>
        <v>0</v>
      </c>
      <c r="H19" s="115">
        <f>IFERROR(IF($C19="","",INDEX('DETALHE GANHOS E GASTOS'!$C$31:$H$66,MATCH($C19,'DETALHE GANHOS E GASTOS'!$C$31:$C$66,0),6)),"")</f>
        <v>27178.880000000001</v>
      </c>
      <c r="I19" s="214">
        <f t="shared" si="0"/>
        <v>1.5282603629600369E-2</v>
      </c>
    </row>
    <row r="20" spans="2:9" ht="15" customHeight="1" x14ac:dyDescent="0.25">
      <c r="B20" s="77" t="s">
        <v>447</v>
      </c>
      <c r="C20" s="48" t="str">
        <f>IFERROR(IF(INDEX('DETALHE GANHOS E GASTOS'!$C$31:$C$66,MATCH($B20,'DETALHE GANHOS E GASTOS'!$Z$31:$Z$66,0))=0,"",INDEX('DETALHE GANHOS E GASTOS'!$C$31:$C$66,MATCH($B20,'DETALHE GANHOS E GASTOS'!$Z$31:$Z$66,0))),"")</f>
        <v>Livros e documentação técnica</v>
      </c>
      <c r="D20" s="224">
        <f>IFERROR(IF($C20="","",INDEX('DETALHE GANHOS E GASTOS'!$C$31:$H$66,MATCH($C20,'DETALHE GANHOS E GASTOS'!$C$31:$C$66,0),2)),"")</f>
        <v>0</v>
      </c>
      <c r="E20" s="224">
        <f>IFERROR(IF($C20="","",INDEX('DETALHE GANHOS E GASTOS'!$C$31:$H$66,MATCH($C20,'DETALHE GANHOS E GASTOS'!$C$31:$C$66,0),3)),"")</f>
        <v>0</v>
      </c>
      <c r="F20" s="224">
        <f>IFERROR(IF($C20="","",INDEX('DETALHE GANHOS E GASTOS'!$C$31:$H$66,MATCH($C20,'DETALHE GANHOS E GASTOS'!$C$31:$C$66,0),4)),"")</f>
        <v>0</v>
      </c>
      <c r="G20" s="224">
        <f>IFERROR(IF($C20="","",INDEX('DETALHE GANHOS E GASTOS'!$C$31:$H$66,MATCH($C20,'DETALHE GANHOS E GASTOS'!$C$31:$C$66,0),5)),"")</f>
        <v>0</v>
      </c>
      <c r="H20" s="115">
        <f>IFERROR(IF($C20="","",INDEX('DETALHE GANHOS E GASTOS'!$C$31:$H$66,MATCH($C20,'DETALHE GANHOS E GASTOS'!$C$31:$C$66,0),6)),"")</f>
        <v>25000</v>
      </c>
      <c r="I20" s="214">
        <f t="shared" si="0"/>
        <v>1.405742586670272E-2</v>
      </c>
    </row>
    <row r="21" spans="2:9" ht="15" customHeight="1" x14ac:dyDescent="0.25">
      <c r="B21" s="77" t="s">
        <v>448</v>
      </c>
      <c r="C21" s="48" t="str">
        <f>IFERROR(IF(INDEX('DETALHE GANHOS E GASTOS'!$C$31:$C$66,MATCH($B21,'DETALHE GANHOS E GASTOS'!$Z$31:$Z$66,0))=0,"",INDEX('DETALHE GANHOS E GASTOS'!$C$31:$C$66,MATCH($B21,'DETALHE GANHOS E GASTOS'!$Z$31:$Z$66,0))),"")</f>
        <v>Material de Escritório</v>
      </c>
      <c r="D21" s="224">
        <f>IFERROR(IF($C21="","",INDEX('DETALHE GANHOS E GASTOS'!$C$31:$H$66,MATCH($C21,'DETALHE GANHOS E GASTOS'!$C$31:$C$66,0),2)),"")</f>
        <v>0</v>
      </c>
      <c r="E21" s="224">
        <f>IFERROR(IF($C21="","",INDEX('DETALHE GANHOS E GASTOS'!$C$31:$H$66,MATCH($C21,'DETALHE GANHOS E GASTOS'!$C$31:$C$66,0),3)),"")</f>
        <v>0</v>
      </c>
      <c r="F21" s="224">
        <f>IFERROR(IF($C21="","",INDEX('DETALHE GANHOS E GASTOS'!$C$31:$H$66,MATCH($C21,'DETALHE GANHOS E GASTOS'!$C$31:$C$66,0),4)),"")</f>
        <v>0</v>
      </c>
      <c r="G21" s="224">
        <f>IFERROR(IF($C21="","",INDEX('DETALHE GANHOS E GASTOS'!$C$31:$H$66,MATCH($C21,'DETALHE GANHOS E GASTOS'!$C$31:$C$66,0),5)),"")</f>
        <v>0</v>
      </c>
      <c r="H21" s="115">
        <f>IFERROR(IF($C21="","",INDEX('DETALHE GANHOS E GASTOS'!$C$31:$H$66,MATCH($C21,'DETALHE GANHOS E GASTOS'!$C$31:$C$66,0),6)),"")</f>
        <v>15822.36</v>
      </c>
      <c r="I21" s="214">
        <f t="shared" si="0"/>
        <v>8.8968661094512985E-3</v>
      </c>
    </row>
    <row r="22" spans="2:9" ht="15" customHeight="1" x14ac:dyDescent="0.25">
      <c r="B22" s="77" t="s">
        <v>449</v>
      </c>
      <c r="C22" s="48" t="str">
        <f>IFERROR(IF(INDEX('DETALHE GANHOS E GASTOS'!$C$31:$C$66,MATCH($B22,'DETALHE GANHOS E GASTOS'!$Z$31:$Z$66,0))=0,"",INDEX('DETALHE GANHOS E GASTOS'!$C$31:$C$66,MATCH($B22,'DETALHE GANHOS E GASTOS'!$Z$31:$Z$66,0))),"")</f>
        <v>Publicidade e propaganda</v>
      </c>
      <c r="D22" s="224">
        <f>IFERROR(IF($C22="","",INDEX('DETALHE GANHOS E GASTOS'!$C$31:$H$66,MATCH($C22,'DETALHE GANHOS E GASTOS'!$C$31:$C$66,0),2)),"")</f>
        <v>0</v>
      </c>
      <c r="E22" s="224">
        <f>IFERROR(IF($C22="","",INDEX('DETALHE GANHOS E GASTOS'!$C$31:$H$66,MATCH($C22,'DETALHE GANHOS E GASTOS'!$C$31:$C$66,0),3)),"")</f>
        <v>0</v>
      </c>
      <c r="F22" s="224">
        <f>IFERROR(IF($C22="","",INDEX('DETALHE GANHOS E GASTOS'!$C$31:$H$66,MATCH($C22,'DETALHE GANHOS E GASTOS'!$C$31:$C$66,0),4)),"")</f>
        <v>0</v>
      </c>
      <c r="G22" s="224">
        <f>IFERROR(IF($C22="","",INDEX('DETALHE GANHOS E GASTOS'!$C$31:$H$66,MATCH($C22,'DETALHE GANHOS E GASTOS'!$C$31:$C$66,0),5)),"")</f>
        <v>0</v>
      </c>
      <c r="H22" s="115">
        <f>IFERROR(IF($C22="","",INDEX('DETALHE GANHOS E GASTOS'!$C$31:$H$66,MATCH($C22,'DETALHE GANHOS E GASTOS'!$C$31:$C$66,0),6)),"")</f>
        <v>10140</v>
      </c>
      <c r="I22" s="214">
        <f t="shared" si="0"/>
        <v>5.7016919315346229E-3</v>
      </c>
    </row>
    <row r="23" spans="2:9" ht="15" customHeight="1" x14ac:dyDescent="0.25">
      <c r="B23" s="77" t="s">
        <v>450</v>
      </c>
      <c r="C23" s="48" t="str">
        <f>IFERROR(IF(INDEX('DETALHE GANHOS E GASTOS'!$C$31:$C$66,MATCH($B23,'DETALHE GANHOS E GASTOS'!$Z$31:$Z$66,0))=0,"",INDEX('DETALHE GANHOS E GASTOS'!$C$31:$C$66,MATCH($B23,'DETALHE GANHOS E GASTOS'!$Z$31:$Z$66,0))),"")</f>
        <v>Electricidade</v>
      </c>
      <c r="D23" s="224">
        <f>IFERROR(IF($C23="","",INDEX('DETALHE GANHOS E GASTOS'!$C$31:$H$66,MATCH($C23,'DETALHE GANHOS E GASTOS'!$C$31:$C$66,0),2)),"")</f>
        <v>0</v>
      </c>
      <c r="E23" s="224">
        <f>IFERROR(IF($C23="","",INDEX('DETALHE GANHOS E GASTOS'!$C$31:$H$66,MATCH($C23,'DETALHE GANHOS E GASTOS'!$C$31:$C$66,0),3)),"")</f>
        <v>0</v>
      </c>
      <c r="F23" s="224">
        <f>IFERROR(IF($C23="","",INDEX('DETALHE GANHOS E GASTOS'!$C$31:$H$66,MATCH($C23,'DETALHE GANHOS E GASTOS'!$C$31:$C$66,0),4)),"")</f>
        <v>0</v>
      </c>
      <c r="G23" s="224">
        <f>IFERROR(IF($C23="","",INDEX('DETALHE GANHOS E GASTOS'!$C$31:$H$66,MATCH($C23,'DETALHE GANHOS E GASTOS'!$C$31:$C$66,0),5)),"")</f>
        <v>0</v>
      </c>
      <c r="H23" s="115">
        <f>IFERROR(IF($C23="","",INDEX('DETALHE GANHOS E GASTOS'!$C$31:$H$66,MATCH($C23,'DETALHE GANHOS E GASTOS'!$C$31:$C$66,0),6)),"")</f>
        <v>9046.51</v>
      </c>
      <c r="I23" s="214">
        <f t="shared" si="0"/>
        <v>5.086825747095393E-3</v>
      </c>
    </row>
    <row r="24" spans="2:9" ht="15" customHeight="1" x14ac:dyDescent="0.25">
      <c r="B24" s="77" t="s">
        <v>454</v>
      </c>
      <c r="C24" s="48" t="str">
        <f>IFERROR(IF(INDEX('DETALHE GANHOS E GASTOS'!$C$31:$C$66,MATCH($B24,'DETALHE GANHOS E GASTOS'!$Z$31:$Z$66,0))=0,"",INDEX('DETALHE GANHOS E GASTOS'!$C$31:$C$66,MATCH($B24,'DETALHE GANHOS E GASTOS'!$Z$31:$Z$66,0))),"")</f>
        <v>Deslocações e estadias</v>
      </c>
      <c r="D24" s="224">
        <f>IFERROR(IF($C24="","",INDEX('DETALHE GANHOS E GASTOS'!$C$31:$H$66,MATCH($C24,'DETALHE GANHOS E GASTOS'!$C$31:$C$66,0),2)),"")</f>
        <v>0</v>
      </c>
      <c r="E24" s="224">
        <f>IFERROR(IF($C24="","",INDEX('DETALHE GANHOS E GASTOS'!$C$31:$H$66,MATCH($C24,'DETALHE GANHOS E GASTOS'!$C$31:$C$66,0),3)),"")</f>
        <v>0</v>
      </c>
      <c r="F24" s="224">
        <f>IFERROR(IF($C24="","",INDEX('DETALHE GANHOS E GASTOS'!$C$31:$H$66,MATCH($C24,'DETALHE GANHOS E GASTOS'!$C$31:$C$66,0),4)),"")</f>
        <v>0</v>
      </c>
      <c r="G24" s="224">
        <f>IFERROR(IF($C24="","",INDEX('DETALHE GANHOS E GASTOS'!$C$31:$H$66,MATCH($C24,'DETALHE GANHOS E GASTOS'!$C$31:$C$66,0),5)),"")</f>
        <v>0</v>
      </c>
      <c r="H24" s="115">
        <f>IFERROR(IF($C24="","",INDEX('DETALHE GANHOS E GASTOS'!$C$31:$H$66,MATCH($C24,'DETALHE GANHOS E GASTOS'!$C$31:$C$66,0),6)),"")</f>
        <v>8465</v>
      </c>
      <c r="I24" s="214">
        <f t="shared" si="0"/>
        <v>4.759844398465541E-3</v>
      </c>
    </row>
    <row r="25" spans="2:9" ht="15" customHeight="1" x14ac:dyDescent="0.25">
      <c r="B25" s="77" t="s">
        <v>455</v>
      </c>
      <c r="C25" s="48" t="str">
        <f>IFERROR(IF(INDEX('DETALHE GANHOS E GASTOS'!$C$31:$C$66,MATCH($B25,'DETALHE GANHOS E GASTOS'!$Z$31:$Z$66,0))=0,"",INDEX('DETALHE GANHOS E GASTOS'!$C$31:$C$66,MATCH($B25,'DETALHE GANHOS E GASTOS'!$Z$31:$Z$66,0))),"")</f>
        <v>Limpeza, higiene e conforto</v>
      </c>
      <c r="D25" s="224">
        <f>IFERROR(IF($C25="","",INDEX('DETALHE GANHOS E GASTOS'!$C$31:$H$66,MATCH($C25,'DETALHE GANHOS E GASTOS'!$C$31:$C$66,0),2)),"")</f>
        <v>0</v>
      </c>
      <c r="E25" s="224">
        <f>IFERROR(IF($C25="","",INDEX('DETALHE GANHOS E GASTOS'!$C$31:$H$66,MATCH($C25,'DETALHE GANHOS E GASTOS'!$C$31:$C$66,0),3)),"")</f>
        <v>0</v>
      </c>
      <c r="F25" s="224">
        <f>IFERROR(IF($C25="","",INDEX('DETALHE GANHOS E GASTOS'!$C$31:$H$66,MATCH($C25,'DETALHE GANHOS E GASTOS'!$C$31:$C$66,0),4)),"")</f>
        <v>0</v>
      </c>
      <c r="G25" s="224">
        <f>IFERROR(IF($C25="","",INDEX('DETALHE GANHOS E GASTOS'!$C$31:$H$66,MATCH($C25,'DETALHE GANHOS E GASTOS'!$C$31:$C$66,0),5)),"")</f>
        <v>0</v>
      </c>
      <c r="H25" s="115">
        <f>IFERROR(IF($C25="","",INDEX('DETALHE GANHOS E GASTOS'!$C$31:$H$66,MATCH($C25,'DETALHE GANHOS E GASTOS'!$C$31:$C$66,0),6)),"")</f>
        <v>4000</v>
      </c>
      <c r="I25" s="214">
        <f t="shared" si="0"/>
        <v>2.2491881386724351E-3</v>
      </c>
    </row>
    <row r="26" spans="2:9" ht="15" customHeight="1" x14ac:dyDescent="0.25">
      <c r="B26" s="77" t="s">
        <v>456</v>
      </c>
      <c r="C26" s="48" t="str">
        <f>IFERROR(IF(INDEX('DETALHE GANHOS E GASTOS'!$C$31:$C$66,MATCH($B26,'DETALHE GANHOS E GASTOS'!$Z$31:$Z$66,0))=0,"",INDEX('DETALHE GANHOS E GASTOS'!$C$31:$C$66,MATCH($B26,'DETALHE GANHOS E GASTOS'!$Z$31:$Z$66,0))),"")</f>
        <v>Material de Manutenção e Reparação</v>
      </c>
      <c r="D26" s="224">
        <f>IFERROR(IF($C26="","",INDEX('DETALHE GANHOS E GASTOS'!$C$31:$H$66,MATCH($C26,'DETALHE GANHOS E GASTOS'!$C$31:$C$66,0),2)),"")</f>
        <v>0</v>
      </c>
      <c r="E26" s="224">
        <f>IFERROR(IF($C26="","",INDEX('DETALHE GANHOS E GASTOS'!$C$31:$H$66,MATCH($C26,'DETALHE GANHOS E GASTOS'!$C$31:$C$66,0),3)),"")</f>
        <v>0</v>
      </c>
      <c r="F26" s="224">
        <f>IFERROR(IF($C26="","",INDEX('DETALHE GANHOS E GASTOS'!$C$31:$H$66,MATCH($C26,'DETALHE GANHOS E GASTOS'!$C$31:$C$66,0),4)),"")</f>
        <v>0</v>
      </c>
      <c r="G26" s="224">
        <f>IFERROR(IF($C26="","",INDEX('DETALHE GANHOS E GASTOS'!$C$31:$H$66,MATCH($C26,'DETALHE GANHOS E GASTOS'!$C$31:$C$66,0),5)),"")</f>
        <v>0</v>
      </c>
      <c r="H26" s="115">
        <f>IFERROR(IF($C26="","",INDEX('DETALHE GANHOS E GASTOS'!$C$31:$H$66,MATCH($C26,'DETALHE GANHOS E GASTOS'!$C$31:$C$66,0),6)),"")</f>
        <v>830</v>
      </c>
      <c r="I26" s="214">
        <f t="shared" si="0"/>
        <v>4.6670653877453031E-4</v>
      </c>
    </row>
    <row r="27" spans="2:9" ht="15" customHeight="1" x14ac:dyDescent="0.25">
      <c r="B27" s="72" t="s">
        <v>457</v>
      </c>
      <c r="C27" s="51" t="str">
        <f>IFERROR(IF(INDEX('DETALHE GANHOS E GASTOS'!$C$31:$C$66,MATCH($B27,'DETALHE GANHOS E GASTOS'!$Z$31:$Z$66,0))=0,"",INDEX('DETALHE GANHOS E GASTOS'!$C$31:$C$66,MATCH($B27,'DETALHE GANHOS E GASTOS'!$Z$31:$Z$66,0))),"")</f>
        <v/>
      </c>
      <c r="D27" s="91" t="str">
        <f>IFERROR(IF($C27="","",INDEX('DETALHE GANHOS E GASTOS'!$C$31:$H$66,MATCH($C27,'DETALHE GANHOS E GASTOS'!$C$31:$C$66,0),2)),"")</f>
        <v/>
      </c>
      <c r="E27" s="91" t="str">
        <f>IFERROR(IF($C27="","",INDEX('DETALHE GANHOS E GASTOS'!$C$31:$H$66,MATCH($C27,'DETALHE GANHOS E GASTOS'!$C$31:$C$66,0),3)),"")</f>
        <v/>
      </c>
      <c r="F27" s="91" t="str">
        <f>IFERROR(IF($C27="","",INDEX('DETALHE GANHOS E GASTOS'!$C$31:$H$66,MATCH($C27,'DETALHE GANHOS E GASTOS'!$C$31:$C$66,0),4)),"")</f>
        <v/>
      </c>
      <c r="G27" s="91" t="str">
        <f>IFERROR(IF($C27="","",INDEX('DETALHE GANHOS E GASTOS'!$C$31:$H$66,MATCH($C27,'DETALHE GANHOS E GASTOS'!$C$31:$C$66,0),5)),"")</f>
        <v/>
      </c>
      <c r="H27" s="107" t="str">
        <f>IFERROR(IF($C27="","",INDEX('DETALHE GANHOS E GASTOS'!$C$31:$H$66,MATCH($C27,'DETALHE GANHOS E GASTOS'!$C$31:$C$66,0),6)),"")</f>
        <v/>
      </c>
      <c r="I27" s="62" t="str">
        <f t="shared" si="0"/>
        <v/>
      </c>
    </row>
    <row r="28" spans="2:9" ht="19.5" customHeight="1" x14ac:dyDescent="0.25">
      <c r="B28" s="124" t="s">
        <v>457</v>
      </c>
      <c r="C28" s="125" t="s">
        <v>458</v>
      </c>
      <c r="D28" s="211">
        <f>IFERROR(SUM(D12:D27),"")</f>
        <v>0</v>
      </c>
      <c r="E28" s="211">
        <f t="shared" ref="E28:H28" si="1">IFERROR(SUM(E12:E27),"")</f>
        <v>0</v>
      </c>
      <c r="F28" s="211">
        <f t="shared" si="1"/>
        <v>0</v>
      </c>
      <c r="G28" s="211">
        <f t="shared" si="1"/>
        <v>0</v>
      </c>
      <c r="H28" s="112">
        <f t="shared" si="1"/>
        <v>1778419.48</v>
      </c>
      <c r="I28" s="212">
        <f>IFERROR(IF(C28&lt;&gt;"",H28/$H$28,""),"")</f>
        <v>1</v>
      </c>
    </row>
    <row r="29" spans="2:9" ht="15" customHeight="1" x14ac:dyDescent="0.25"/>
    <row r="30" spans="2:9" ht="15" customHeight="1" x14ac:dyDescent="0.25"/>
    <row r="31" spans="2:9" ht="15" customHeight="1" x14ac:dyDescent="0.25"/>
    <row r="32" spans="2:9"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sheetData>
  <sheetProtection algorithmName="SHA-512" hashValue="DU1LpxzPU/mXsvblGUwoJiEA7LB+v4S2+MA05FrlsoGszoFDBcjpa6KeKw/tkSa6x3jaaro5JSY/02FB2wlx3A==" saltValue="eg21MgVxycPqJFEX28d3EQ==" spinCount="100000" sheet="1" sort="0" autoFilter="0"/>
  <mergeCells count="2">
    <mergeCell ref="D5:F5"/>
    <mergeCell ref="C8:I8"/>
  </mergeCells>
  <hyperlinks>
    <hyperlink ref="C1" location="ÍNDICE!A1" display="BACK TO INDEX" xr:uid="{00000000-0004-0000-2300-000000000000}"/>
  </hyperlinks>
  <pageMargins left="0.7" right="0.7" top="0.75" bottom="0.75" header="0.3" footer="0.3"/>
  <pageSetup scale="53" orientation="portrait" r:id="rId1"/>
  <colBreaks count="1" manualBreakCount="1">
    <brk id="10" min="1" max="69" man="1"/>
  </col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1"/>
  <dimension ref="A1:T161"/>
  <sheetViews>
    <sheetView showGridLines="0" zoomScaleNormal="100" workbookViewId="0">
      <pane ySplit="1" topLeftCell="A2" activePane="bottomLeft" state="frozen"/>
      <selection activeCell="B1" sqref="B1:C1"/>
      <selection pane="bottomLeft" activeCell="M52" sqref="M52"/>
    </sheetView>
  </sheetViews>
  <sheetFormatPr defaultColWidth="0" defaultRowHeight="15" customHeight="1" zeroHeight="1" x14ac:dyDescent="0.25"/>
  <cols>
    <col min="1" max="1" width="1.140625" style="3" customWidth="1"/>
    <col min="2" max="2" width="7.28515625" style="4" customWidth="1"/>
    <col min="3" max="3" width="52.7109375" style="4" customWidth="1"/>
    <col min="4" max="4" width="1.42578125" style="4" customWidth="1"/>
    <col min="5" max="5" width="9.42578125" style="3" customWidth="1"/>
    <col min="6" max="6" width="1.42578125" style="3" customWidth="1"/>
    <col min="7" max="7" width="9.42578125" style="3" customWidth="1"/>
    <col min="8" max="8" width="1.42578125" style="3" customWidth="1"/>
    <col min="9" max="9" width="9.42578125" style="3" customWidth="1"/>
    <col min="10" max="10" width="1.42578125" style="3" customWidth="1"/>
    <col min="11" max="11" width="9.42578125" style="3" customWidth="1"/>
    <col min="12" max="12" width="1.42578125" style="3" customWidth="1"/>
    <col min="13" max="13" width="9.42578125" style="3" customWidth="1"/>
    <col min="14" max="14" width="1" style="3" customWidth="1"/>
    <col min="15" max="16" width="5" style="3" hidden="1" customWidth="1"/>
    <col min="17" max="20" width="9.140625" style="3" hidden="1" customWidth="1"/>
    <col min="21" max="16384" width="5" style="3" hidden="1"/>
  </cols>
  <sheetData>
    <row r="1" spans="1:14" ht="21" customHeight="1" x14ac:dyDescent="0.2">
      <c r="A1" s="2"/>
      <c r="B1" s="445" t="s">
        <v>29</v>
      </c>
      <c r="C1" s="377"/>
      <c r="D1" s="2"/>
      <c r="E1" s="2"/>
      <c r="F1" s="2"/>
      <c r="G1" s="2"/>
      <c r="H1" s="2"/>
      <c r="I1" s="2"/>
      <c r="J1" s="2"/>
      <c r="K1" s="2"/>
      <c r="L1" s="2"/>
      <c r="M1" s="2"/>
      <c r="N1" s="56"/>
    </row>
    <row r="2" spans="1:14" ht="15" customHeight="1" x14ac:dyDescent="0.2"/>
    <row r="3" spans="1:14" ht="15" customHeight="1" x14ac:dyDescent="0.25">
      <c r="G3" s="12" t="s">
        <v>37</v>
      </c>
      <c r="I3" s="186">
        <f>IF(COVER!E6&lt;&gt;"",COVER!E6,"")</f>
        <v>2021</v>
      </c>
    </row>
    <row r="4" spans="1:14" ht="15" customHeight="1" x14ac:dyDescent="0.2"/>
    <row r="5" spans="1:14" ht="20.25" customHeight="1" x14ac:dyDescent="0.2">
      <c r="B5" s="422" t="s">
        <v>4</v>
      </c>
      <c r="C5" s="377"/>
      <c r="D5" s="556" t="str">
        <f>IF(COVER!E8&lt;&gt;"",COVER!E8,"")</f>
        <v>POWER BLOX AFRICA, S.A.</v>
      </c>
      <c r="E5" s="557"/>
      <c r="F5" s="557"/>
      <c r="G5" s="557"/>
      <c r="H5" s="557"/>
      <c r="I5" s="557"/>
      <c r="J5" s="557"/>
      <c r="K5" s="557"/>
      <c r="L5" s="557"/>
      <c r="M5" s="558"/>
    </row>
    <row r="6" spans="1:14" ht="15" customHeight="1" x14ac:dyDescent="0.2"/>
    <row r="7" spans="1:14" s="6" customFormat="1" ht="30.75" customHeight="1" x14ac:dyDescent="0.2">
      <c r="B7" s="376" t="s">
        <v>530</v>
      </c>
      <c r="C7" s="376"/>
      <c r="D7" s="376"/>
      <c r="E7" s="377"/>
      <c r="F7" s="377"/>
      <c r="G7" s="377"/>
      <c r="H7" s="377"/>
      <c r="I7" s="377"/>
      <c r="J7" s="377"/>
      <c r="K7" s="377"/>
      <c r="L7" s="377"/>
      <c r="M7" s="377"/>
      <c r="N7" s="139"/>
    </row>
    <row r="8" spans="1:14" ht="15" customHeight="1" x14ac:dyDescent="0.2">
      <c r="N8" s="140"/>
    </row>
    <row r="9" spans="1:14" s="31" customFormat="1" ht="31.5" customHeight="1" x14ac:dyDescent="0.2">
      <c r="B9" s="157" t="s">
        <v>636</v>
      </c>
      <c r="C9" s="32"/>
      <c r="D9" s="32"/>
      <c r="E9" s="170">
        <f>IF(G9&lt;&gt;"",G9-1,"")</f>
        <v>2017</v>
      </c>
      <c r="F9" s="3"/>
      <c r="G9" s="170">
        <f>IF(I9&lt;&gt;"",I9-1,"")</f>
        <v>2018</v>
      </c>
      <c r="H9" s="3"/>
      <c r="I9" s="170">
        <f>IF(K9&lt;&gt;"",K9-1,"")</f>
        <v>2019</v>
      </c>
      <c r="J9" s="3"/>
      <c r="K9" s="170">
        <f>IF(M9&lt;&gt;"",M9-1,"")</f>
        <v>2020</v>
      </c>
      <c r="L9" s="3"/>
      <c r="M9" s="170">
        <f>I3</f>
        <v>2021</v>
      </c>
      <c r="N9" s="141"/>
    </row>
    <row r="10" spans="1:14" ht="15" customHeight="1" x14ac:dyDescent="0.25">
      <c r="B10" s="156"/>
      <c r="N10" s="140"/>
    </row>
    <row r="11" spans="1:14" ht="21" customHeight="1" x14ac:dyDescent="0.25">
      <c r="B11" s="378" t="s">
        <v>531</v>
      </c>
      <c r="C11" s="548"/>
      <c r="D11" s="548"/>
      <c r="E11" s="379"/>
      <c r="F11" s="379"/>
      <c r="G11" s="379"/>
      <c r="H11" s="379"/>
      <c r="I11" s="379"/>
      <c r="J11" s="379"/>
      <c r="K11" s="379"/>
      <c r="L11" s="379"/>
      <c r="M11" s="379"/>
      <c r="N11" s="140"/>
    </row>
    <row r="12" spans="1:14" ht="4.5" customHeight="1" x14ac:dyDescent="0.25">
      <c r="B12" s="192"/>
      <c r="C12" s="192"/>
      <c r="D12" s="192"/>
      <c r="E12" s="193"/>
      <c r="F12" s="192"/>
      <c r="G12" s="193"/>
      <c r="H12" s="192"/>
      <c r="I12" s="193"/>
      <c r="J12" s="192"/>
      <c r="K12" s="193"/>
      <c r="L12" s="192"/>
      <c r="M12" s="193"/>
      <c r="N12" s="140"/>
    </row>
    <row r="13" spans="1:14" ht="15" customHeight="1" x14ac:dyDescent="0.25">
      <c r="B13" s="137" t="s">
        <v>535</v>
      </c>
      <c r="C13" s="74" t="s">
        <v>553</v>
      </c>
      <c r="D13" s="142"/>
      <c r="E13" s="198"/>
      <c r="F13" s="142"/>
      <c r="G13" s="198"/>
      <c r="H13" s="142"/>
      <c r="I13" s="198"/>
      <c r="J13" s="142"/>
      <c r="K13" s="198"/>
      <c r="L13" s="142"/>
      <c r="M13" s="198"/>
      <c r="N13" s="138"/>
    </row>
    <row r="14" spans="1:14" ht="4.5" customHeight="1" x14ac:dyDescent="0.25">
      <c r="B14" s="194"/>
      <c r="C14" s="192"/>
      <c r="D14" s="195"/>
      <c r="E14" s="193"/>
      <c r="F14" s="195"/>
      <c r="G14" s="193"/>
      <c r="H14" s="195"/>
      <c r="I14" s="193"/>
      <c r="J14" s="195"/>
      <c r="K14" s="193"/>
      <c r="L14" s="195"/>
      <c r="M14" s="193"/>
      <c r="N14" s="195"/>
    </row>
    <row r="15" spans="1:14" ht="15" customHeight="1" x14ac:dyDescent="0.25">
      <c r="B15" s="137" t="s">
        <v>536</v>
      </c>
      <c r="C15" s="74" t="s">
        <v>554</v>
      </c>
      <c r="D15" s="142"/>
      <c r="E15" s="198"/>
      <c r="F15" s="142"/>
      <c r="G15" s="198"/>
      <c r="H15" s="142"/>
      <c r="I15" s="198"/>
      <c r="J15" s="142"/>
      <c r="K15" s="198"/>
      <c r="L15" s="142"/>
      <c r="M15" s="198"/>
      <c r="N15" s="138"/>
    </row>
    <row r="16" spans="1:14" ht="4.5" customHeight="1" x14ac:dyDescent="0.25">
      <c r="B16" s="194"/>
      <c r="C16" s="192"/>
      <c r="D16" s="195"/>
      <c r="E16" s="193"/>
      <c r="F16" s="195"/>
      <c r="G16" s="193"/>
      <c r="H16" s="195"/>
      <c r="I16" s="193"/>
      <c r="J16" s="195"/>
      <c r="K16" s="193"/>
      <c r="L16" s="195"/>
      <c r="M16" s="193"/>
      <c r="N16" s="195"/>
    </row>
    <row r="17" spans="2:14" ht="15" customHeight="1" x14ac:dyDescent="0.25">
      <c r="B17" s="137" t="s">
        <v>537</v>
      </c>
      <c r="C17" s="74" t="s">
        <v>551</v>
      </c>
      <c r="D17" s="142"/>
      <c r="E17" s="198"/>
      <c r="F17" s="142"/>
      <c r="G17" s="198"/>
      <c r="H17" s="142"/>
      <c r="I17" s="198"/>
      <c r="J17" s="142"/>
      <c r="K17" s="198"/>
      <c r="L17" s="142"/>
      <c r="M17" s="198"/>
      <c r="N17" s="138"/>
    </row>
    <row r="18" spans="2:14" ht="4.5" customHeight="1" x14ac:dyDescent="0.25">
      <c r="B18" s="192"/>
      <c r="C18" s="192"/>
      <c r="D18" s="192"/>
      <c r="E18" s="192"/>
      <c r="F18" s="192"/>
      <c r="G18" s="192"/>
      <c r="H18" s="192"/>
      <c r="I18" s="192"/>
      <c r="J18" s="192"/>
      <c r="K18" s="192"/>
      <c r="L18" s="192"/>
      <c r="M18" s="192"/>
      <c r="N18" s="140"/>
    </row>
    <row r="19" spans="2:14" ht="21" customHeight="1" x14ac:dyDescent="0.25">
      <c r="B19" s="378" t="s">
        <v>532</v>
      </c>
      <c r="C19" s="548"/>
      <c r="D19" s="548"/>
      <c r="E19" s="379"/>
      <c r="F19" s="379"/>
      <c r="G19" s="379"/>
      <c r="H19" s="379"/>
      <c r="I19" s="379"/>
      <c r="J19" s="379"/>
      <c r="K19" s="379"/>
      <c r="L19" s="379"/>
      <c r="M19" s="379"/>
      <c r="N19" s="140"/>
    </row>
    <row r="20" spans="2:14" ht="4.5" customHeight="1" x14ac:dyDescent="0.25">
      <c r="B20" s="192"/>
      <c r="C20" s="192"/>
      <c r="D20" s="192"/>
      <c r="E20" s="193"/>
      <c r="F20" s="192"/>
      <c r="G20" s="193"/>
      <c r="H20" s="192"/>
      <c r="I20" s="193"/>
      <c r="J20" s="192"/>
      <c r="K20" s="193"/>
      <c r="L20" s="192"/>
      <c r="M20" s="193"/>
      <c r="N20" s="140"/>
    </row>
    <row r="21" spans="2:14" ht="15" customHeight="1" x14ac:dyDescent="0.25">
      <c r="B21" s="137" t="s">
        <v>538</v>
      </c>
      <c r="C21" s="74" t="s">
        <v>555</v>
      </c>
      <c r="D21" s="142"/>
      <c r="E21" s="198"/>
      <c r="F21" s="142"/>
      <c r="G21" s="198"/>
      <c r="H21" s="142"/>
      <c r="I21" s="198"/>
      <c r="J21" s="142"/>
      <c r="K21" s="198"/>
      <c r="L21" s="142"/>
      <c r="M21" s="198"/>
      <c r="N21" s="138"/>
    </row>
    <row r="22" spans="2:14" ht="4.5" customHeight="1" x14ac:dyDescent="0.25">
      <c r="B22" s="194"/>
      <c r="C22" s="192"/>
      <c r="D22" s="195"/>
      <c r="E22" s="193"/>
      <c r="F22" s="195"/>
      <c r="G22" s="193"/>
      <c r="H22" s="195"/>
      <c r="I22" s="193"/>
      <c r="J22" s="195"/>
      <c r="K22" s="193"/>
      <c r="L22" s="195"/>
      <c r="M22" s="193"/>
      <c r="N22" s="195"/>
    </row>
    <row r="23" spans="2:14" ht="15" customHeight="1" x14ac:dyDescent="0.25">
      <c r="B23" s="137" t="s">
        <v>539</v>
      </c>
      <c r="C23" s="74" t="s">
        <v>556</v>
      </c>
      <c r="D23" s="142"/>
      <c r="E23" s="198"/>
      <c r="F23" s="142"/>
      <c r="G23" s="198"/>
      <c r="H23" s="142"/>
      <c r="I23" s="198"/>
      <c r="J23" s="142"/>
      <c r="K23" s="198"/>
      <c r="L23" s="142"/>
      <c r="M23" s="198"/>
      <c r="N23" s="138"/>
    </row>
    <row r="24" spans="2:14" ht="4.5" customHeight="1" x14ac:dyDescent="0.25">
      <c r="B24" s="194"/>
      <c r="C24" s="192"/>
      <c r="D24" s="195"/>
      <c r="E24" s="193"/>
      <c r="F24" s="195"/>
      <c r="G24" s="193"/>
      <c r="H24" s="195"/>
      <c r="I24" s="193"/>
      <c r="J24" s="195"/>
      <c r="K24" s="193"/>
      <c r="L24" s="195"/>
      <c r="M24" s="193"/>
      <c r="N24" s="195"/>
    </row>
    <row r="25" spans="2:14" ht="15" customHeight="1" x14ac:dyDescent="0.25">
      <c r="B25" s="137" t="s">
        <v>540</v>
      </c>
      <c r="C25" s="74" t="s">
        <v>557</v>
      </c>
      <c r="D25" s="142"/>
      <c r="E25" s="198"/>
      <c r="F25" s="142"/>
      <c r="G25" s="198"/>
      <c r="H25" s="142"/>
      <c r="I25" s="198"/>
      <c r="J25" s="142"/>
      <c r="K25" s="198"/>
      <c r="L25" s="142"/>
      <c r="M25" s="198"/>
      <c r="N25" s="138"/>
    </row>
    <row r="26" spans="2:14" ht="4.5" customHeight="1" x14ac:dyDescent="0.25">
      <c r="B26" s="192"/>
      <c r="C26" s="192"/>
      <c r="D26" s="192"/>
      <c r="E26" s="192"/>
      <c r="F26" s="192"/>
      <c r="G26" s="192"/>
      <c r="H26" s="192"/>
      <c r="I26" s="192"/>
      <c r="J26" s="192"/>
      <c r="K26" s="192"/>
      <c r="L26" s="192"/>
      <c r="M26" s="192"/>
      <c r="N26" s="140"/>
    </row>
    <row r="27" spans="2:14" ht="21" customHeight="1" x14ac:dyDescent="0.25">
      <c r="B27" s="378" t="s">
        <v>533</v>
      </c>
      <c r="C27" s="548"/>
      <c r="D27" s="548"/>
      <c r="E27" s="379"/>
      <c r="F27" s="379"/>
      <c r="G27" s="379"/>
      <c r="H27" s="379"/>
      <c r="I27" s="379"/>
      <c r="J27" s="379"/>
      <c r="K27" s="379"/>
      <c r="L27" s="379"/>
      <c r="M27" s="379"/>
      <c r="N27" s="140"/>
    </row>
    <row r="28" spans="2:14" ht="4.5" customHeight="1" x14ac:dyDescent="0.25">
      <c r="B28" s="192"/>
      <c r="C28" s="192"/>
      <c r="D28" s="192"/>
      <c r="E28" s="193"/>
      <c r="F28" s="192"/>
      <c r="G28" s="193"/>
      <c r="H28" s="192"/>
      <c r="I28" s="193"/>
      <c r="J28" s="192"/>
      <c r="K28" s="193"/>
      <c r="L28" s="192"/>
      <c r="M28" s="193"/>
      <c r="N28" s="140"/>
    </row>
    <row r="29" spans="2:14" ht="15" customHeight="1" x14ac:dyDescent="0.25">
      <c r="B29" s="137" t="s">
        <v>541</v>
      </c>
      <c r="C29" s="74" t="s">
        <v>555</v>
      </c>
      <c r="D29" s="142"/>
      <c r="E29" s="198"/>
      <c r="F29" s="142"/>
      <c r="G29" s="198"/>
      <c r="H29" s="142"/>
      <c r="I29" s="198"/>
      <c r="J29" s="142"/>
      <c r="K29" s="198"/>
      <c r="L29" s="142"/>
      <c r="M29" s="198"/>
      <c r="N29" s="138"/>
    </row>
    <row r="30" spans="2:14" ht="4.5" customHeight="1" x14ac:dyDescent="0.25">
      <c r="B30" s="194"/>
      <c r="C30" s="192"/>
      <c r="D30" s="195"/>
      <c r="E30" s="193"/>
      <c r="F30" s="195"/>
      <c r="G30" s="193"/>
      <c r="H30" s="195"/>
      <c r="I30" s="193"/>
      <c r="J30" s="195"/>
      <c r="K30" s="193"/>
      <c r="L30" s="195"/>
      <c r="M30" s="193"/>
      <c r="N30" s="195"/>
    </row>
    <row r="31" spans="2:14" ht="15" customHeight="1" x14ac:dyDescent="0.25">
      <c r="B31" s="137" t="s">
        <v>542</v>
      </c>
      <c r="C31" s="74" t="s">
        <v>558</v>
      </c>
      <c r="D31" s="142"/>
      <c r="E31" s="198"/>
      <c r="F31" s="142"/>
      <c r="G31" s="198"/>
      <c r="H31" s="142"/>
      <c r="I31" s="198"/>
      <c r="J31" s="142"/>
      <c r="K31" s="198"/>
      <c r="L31" s="142"/>
      <c r="M31" s="198"/>
      <c r="N31" s="138"/>
    </row>
    <row r="32" spans="2:14" ht="4.5" customHeight="1" x14ac:dyDescent="0.25">
      <c r="B32" s="194"/>
      <c r="C32" s="192"/>
      <c r="D32" s="195"/>
      <c r="E32" s="193"/>
      <c r="F32" s="195"/>
      <c r="G32" s="193"/>
      <c r="H32" s="195"/>
      <c r="I32" s="193"/>
      <c r="J32" s="195"/>
      <c r="K32" s="193"/>
      <c r="L32" s="195"/>
      <c r="M32" s="193"/>
      <c r="N32" s="195"/>
    </row>
    <row r="33" spans="2:14" ht="15" customHeight="1" x14ac:dyDescent="0.25">
      <c r="B33" s="137" t="s">
        <v>543</v>
      </c>
      <c r="C33" s="74" t="s">
        <v>559</v>
      </c>
      <c r="D33" s="142"/>
      <c r="E33" s="198"/>
      <c r="F33" s="142"/>
      <c r="G33" s="198"/>
      <c r="H33" s="142"/>
      <c r="I33" s="198"/>
      <c r="J33" s="142"/>
      <c r="K33" s="198"/>
      <c r="L33" s="142"/>
      <c r="M33" s="198"/>
      <c r="N33" s="138"/>
    </row>
    <row r="34" spans="2:14" ht="4.5" customHeight="1" x14ac:dyDescent="0.25">
      <c r="B34" s="192"/>
      <c r="C34" s="192"/>
      <c r="D34" s="192"/>
      <c r="E34" s="192"/>
      <c r="F34" s="192"/>
      <c r="G34" s="192"/>
      <c r="H34" s="192"/>
      <c r="I34" s="192"/>
      <c r="J34" s="192"/>
      <c r="K34" s="192"/>
      <c r="L34" s="192"/>
      <c r="M34" s="192"/>
      <c r="N34" s="140"/>
    </row>
    <row r="35" spans="2:14" ht="21" customHeight="1" x14ac:dyDescent="0.25">
      <c r="B35" s="378" t="s">
        <v>534</v>
      </c>
      <c r="C35" s="548"/>
      <c r="D35" s="548"/>
      <c r="E35" s="379"/>
      <c r="F35" s="379"/>
      <c r="G35" s="379"/>
      <c r="H35" s="379"/>
      <c r="I35" s="379"/>
      <c r="J35" s="379"/>
      <c r="K35" s="379"/>
      <c r="L35" s="379"/>
      <c r="M35" s="379"/>
      <c r="N35" s="140"/>
    </row>
    <row r="36" spans="2:14" ht="4.5" customHeight="1" x14ac:dyDescent="0.25">
      <c r="B36" s="192"/>
      <c r="C36" s="192"/>
      <c r="D36" s="192"/>
      <c r="E36" s="193"/>
      <c r="F36" s="192"/>
      <c r="G36" s="193"/>
      <c r="H36" s="192"/>
      <c r="I36" s="193"/>
      <c r="J36" s="192"/>
      <c r="K36" s="193"/>
      <c r="L36" s="192"/>
      <c r="M36" s="193"/>
      <c r="N36" s="140"/>
    </row>
    <row r="37" spans="2:14" ht="15" customHeight="1" x14ac:dyDescent="0.25">
      <c r="B37" s="137" t="s">
        <v>544</v>
      </c>
      <c r="C37" s="74" t="s">
        <v>560</v>
      </c>
      <c r="D37" s="142"/>
      <c r="E37" s="198"/>
      <c r="F37" s="142"/>
      <c r="G37" s="198"/>
      <c r="H37" s="142"/>
      <c r="I37" s="198"/>
      <c r="J37" s="142"/>
      <c r="K37" s="198"/>
      <c r="L37" s="142"/>
      <c r="M37" s="198"/>
      <c r="N37" s="138"/>
    </row>
    <row r="38" spans="2:14" ht="4.5" customHeight="1" x14ac:dyDescent="0.25">
      <c r="B38" s="194"/>
      <c r="C38" s="192"/>
      <c r="D38" s="195"/>
      <c r="E38" s="193"/>
      <c r="F38" s="195"/>
      <c r="G38" s="193"/>
      <c r="H38" s="195"/>
      <c r="I38" s="193"/>
      <c r="J38" s="195"/>
      <c r="K38" s="193"/>
      <c r="L38" s="195"/>
      <c r="M38" s="193"/>
      <c r="N38" s="195"/>
    </row>
    <row r="39" spans="2:14" ht="15" customHeight="1" x14ac:dyDescent="0.25">
      <c r="B39" s="137" t="s">
        <v>545</v>
      </c>
      <c r="C39" s="74" t="s">
        <v>561</v>
      </c>
      <c r="D39" s="142"/>
      <c r="E39" s="198"/>
      <c r="F39" s="142"/>
      <c r="G39" s="198"/>
      <c r="H39" s="142"/>
      <c r="I39" s="198"/>
      <c r="J39" s="142"/>
      <c r="K39" s="198"/>
      <c r="L39" s="142"/>
      <c r="M39" s="198"/>
      <c r="N39" s="138"/>
    </row>
    <row r="40" spans="2:14" ht="4.5" customHeight="1" x14ac:dyDescent="0.25">
      <c r="B40" s="194"/>
      <c r="C40" s="192"/>
      <c r="D40" s="195"/>
      <c r="E40" s="193"/>
      <c r="F40" s="195"/>
      <c r="G40" s="193"/>
      <c r="H40" s="195"/>
      <c r="I40" s="193"/>
      <c r="J40" s="195"/>
      <c r="K40" s="193"/>
      <c r="L40" s="195"/>
      <c r="M40" s="193"/>
      <c r="N40" s="195"/>
    </row>
    <row r="41" spans="2:14" ht="15" customHeight="1" x14ac:dyDescent="0.25">
      <c r="B41" s="137" t="s">
        <v>546</v>
      </c>
      <c r="C41" s="74" t="s">
        <v>562</v>
      </c>
      <c r="D41" s="142"/>
      <c r="E41" s="198"/>
      <c r="F41" s="142"/>
      <c r="G41" s="198"/>
      <c r="H41" s="142"/>
      <c r="I41" s="198"/>
      <c r="J41" s="142"/>
      <c r="K41" s="198"/>
      <c r="L41" s="142"/>
      <c r="M41" s="198"/>
      <c r="N41" s="138"/>
    </row>
    <row r="42" spans="2:14" ht="4.5" customHeight="1" x14ac:dyDescent="0.25">
      <c r="B42" s="194"/>
      <c r="C42" s="192"/>
      <c r="D42" s="192"/>
      <c r="E42" s="193"/>
      <c r="F42" s="192"/>
      <c r="G42" s="193"/>
      <c r="H42" s="192"/>
      <c r="I42" s="193"/>
      <c r="J42" s="192"/>
      <c r="K42" s="193"/>
      <c r="L42" s="192"/>
      <c r="M42" s="193"/>
      <c r="N42" s="195"/>
    </row>
    <row r="43" spans="2:14" ht="15" customHeight="1" x14ac:dyDescent="0.25">
      <c r="B43" s="137" t="s">
        <v>547</v>
      </c>
      <c r="C43" s="74" t="s">
        <v>563</v>
      </c>
      <c r="D43" s="142"/>
      <c r="E43" s="198"/>
      <c r="F43" s="142"/>
      <c r="G43" s="198"/>
      <c r="H43" s="142"/>
      <c r="I43" s="198"/>
      <c r="J43" s="142"/>
      <c r="K43" s="198"/>
      <c r="L43" s="142"/>
      <c r="M43" s="198"/>
      <c r="N43" s="138"/>
    </row>
    <row r="44" spans="2:14" ht="4.5" customHeight="1" x14ac:dyDescent="0.25">
      <c r="B44" s="194"/>
      <c r="C44" s="192"/>
      <c r="D44" s="195"/>
      <c r="E44" s="193"/>
      <c r="F44" s="195"/>
      <c r="G44" s="193"/>
      <c r="H44" s="195"/>
      <c r="I44" s="193"/>
      <c r="J44" s="195"/>
      <c r="K44" s="193"/>
      <c r="L44" s="195"/>
      <c r="M44" s="193"/>
      <c r="N44" s="195"/>
    </row>
    <row r="45" spans="2:14" ht="15" customHeight="1" x14ac:dyDescent="0.25">
      <c r="B45" s="137" t="s">
        <v>548</v>
      </c>
      <c r="C45" s="74" t="s">
        <v>564</v>
      </c>
      <c r="D45" s="142"/>
      <c r="E45" s="198"/>
      <c r="F45" s="142"/>
      <c r="G45" s="198"/>
      <c r="H45" s="142"/>
      <c r="I45" s="198"/>
      <c r="J45" s="142"/>
      <c r="K45" s="198"/>
      <c r="L45" s="142"/>
      <c r="M45" s="198"/>
      <c r="N45" s="138"/>
    </row>
    <row r="46" spans="2:14" ht="4.5" customHeight="1" x14ac:dyDescent="0.25">
      <c r="B46" s="194"/>
      <c r="C46" s="192"/>
      <c r="D46" s="195"/>
      <c r="E46" s="193"/>
      <c r="F46" s="195"/>
      <c r="G46" s="193"/>
      <c r="H46" s="195"/>
      <c r="I46" s="193"/>
      <c r="J46" s="195"/>
      <c r="K46" s="193"/>
      <c r="L46" s="195"/>
      <c r="M46" s="193"/>
      <c r="N46" s="195"/>
    </row>
    <row r="47" spans="2:14" ht="15" customHeight="1" x14ac:dyDescent="0.25">
      <c r="B47" s="137" t="s">
        <v>549</v>
      </c>
      <c r="C47" s="74" t="s">
        <v>565</v>
      </c>
      <c r="D47" s="142"/>
      <c r="E47" s="198"/>
      <c r="F47" s="142"/>
      <c r="G47" s="198"/>
      <c r="H47" s="142"/>
      <c r="I47" s="198"/>
      <c r="J47" s="142"/>
      <c r="K47" s="198"/>
      <c r="L47" s="142"/>
      <c r="M47" s="198"/>
      <c r="N47" s="138"/>
    </row>
    <row r="48" spans="2:14" ht="4.5" customHeight="1" x14ac:dyDescent="0.25">
      <c r="B48" s="194"/>
      <c r="C48" s="192"/>
      <c r="D48" s="192"/>
      <c r="E48" s="193"/>
      <c r="F48" s="192"/>
      <c r="G48" s="193"/>
      <c r="H48" s="192"/>
      <c r="I48" s="193"/>
      <c r="J48" s="192"/>
      <c r="K48" s="193"/>
      <c r="L48" s="192"/>
      <c r="M48" s="193"/>
      <c r="N48" s="195"/>
    </row>
    <row r="49" spans="2:14" ht="15" customHeight="1" x14ac:dyDescent="0.25">
      <c r="B49" s="137" t="s">
        <v>550</v>
      </c>
      <c r="C49" s="74" t="s">
        <v>552</v>
      </c>
      <c r="D49" s="142"/>
      <c r="E49" s="198"/>
      <c r="F49" s="142"/>
      <c r="G49" s="198"/>
      <c r="H49" s="142"/>
      <c r="I49" s="198"/>
      <c r="J49" s="142"/>
      <c r="K49" s="198"/>
      <c r="L49" s="142"/>
      <c r="M49" s="198"/>
      <c r="N49" s="138"/>
    </row>
    <row r="50" spans="2:14" ht="4.5" customHeight="1" x14ac:dyDescent="0.25">
      <c r="B50" s="196"/>
      <c r="C50" s="193"/>
      <c r="D50" s="193"/>
      <c r="E50" s="193"/>
      <c r="F50" s="193"/>
      <c r="G50" s="193"/>
      <c r="H50" s="193"/>
      <c r="I50" s="193"/>
      <c r="J50" s="193"/>
      <c r="K50" s="193"/>
      <c r="L50" s="193"/>
      <c r="M50" s="193"/>
      <c r="N50" s="197"/>
    </row>
    <row r="51" spans="2:14" ht="15" customHeight="1" x14ac:dyDescent="0.25"/>
    <row r="52" spans="2:14" ht="15" customHeight="1" x14ac:dyDescent="0.25"/>
    <row r="53" spans="2:14" ht="15" customHeight="1" x14ac:dyDescent="0.25"/>
    <row r="161" ht="15" customHeight="1" x14ac:dyDescent="0.25"/>
  </sheetData>
  <sheetProtection algorithmName="SHA-512" hashValue="473kNCYHEu1Oq8g3ss/pK+qYDuYM54ZjDX32G3Uh+RFXkycLTng093tqHmtTmSUrPI2D1TF+3jH3vX0GtDiL2g==" saltValue="EeOpzxPmoYeZlPYx2hewlg==" spinCount="100000" sheet="1" objects="1" scenarios="1" sort="0" autoFilter="0"/>
  <mergeCells count="8">
    <mergeCell ref="B1:C1"/>
    <mergeCell ref="B5:C5"/>
    <mergeCell ref="B19:M19"/>
    <mergeCell ref="B27:M27"/>
    <mergeCell ref="B35:M35"/>
    <mergeCell ref="B7:M7"/>
    <mergeCell ref="B11:M11"/>
    <mergeCell ref="D5:M5"/>
  </mergeCells>
  <hyperlinks>
    <hyperlink ref="B1" location="ÍNDICE!A1" display="BACK TO INDEX" xr:uid="{00000000-0004-0000-2400-000000000000}"/>
  </hyperlinks>
  <pageMargins left="0.7" right="0.7" top="0.75" bottom="0.75" header="0.3" footer="0.3"/>
  <pageSetup scale="53" orientation="portrait" r:id="rId1"/>
  <colBreaks count="1" manualBreakCount="1">
    <brk id="14" min="1" max="150" man="1"/>
  </colBreaks>
  <drawing r:id="rId2"/>
  <extLst>
    <ext xmlns:x14="http://schemas.microsoft.com/office/spreadsheetml/2009/9/main" uri="{CCE6A557-97BC-4b89-ADB6-D9C93CAAB3DF}">
      <x14:dataValidations xmlns:xm="http://schemas.microsoft.com/office/excel/2006/main" count="1">
        <x14:dataValidation type="list" operator="equal" allowBlank="1" showInputMessage="1" showErrorMessage="1" error="SÓ ACEITA X" xr:uid="{00000000-0002-0000-2400-000000000000}">
          <x14:formula1>
            <xm:f>Auxiliar!$A$6</xm:f>
          </x14:formula1>
          <xm:sqref>E13 G13 I13 K13 M13 E15 G15 I15 K15 M15 E17 G17 I17 K17 M17 E21 G21 I21 K21 M21 E23 G23 I23 K23 M23 E25 G25 I25 K25 M25 E29 G29 I29 K29 M29 E31 G31 I31 K31 M31 E33 G33 I33 K33 M33 E37 G37 I37 K37 M37 E39 G39 I39 K39 M39 E41 G41 I41 K41 M41 E43 G43 I43 K43 M43 E45 G45 I45 K45 M45 E47 G47 I47 K47 M47 E49 G49 I49 K49 M49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2"/>
  <dimension ref="A2:U64"/>
  <sheetViews>
    <sheetView topLeftCell="A43" workbookViewId="0">
      <selection activeCell="E22" sqref="E22"/>
    </sheetView>
  </sheetViews>
  <sheetFormatPr defaultColWidth="9.140625" defaultRowHeight="15" x14ac:dyDescent="0.25"/>
  <cols>
    <col min="1" max="6" width="9.140625" style="347"/>
    <col min="7" max="7" width="20.140625" style="347" customWidth="1"/>
    <col min="8" max="12" width="14.85546875" style="347" customWidth="1"/>
    <col min="13" max="15" width="9.140625" style="347"/>
    <col min="16" max="16" width="24.42578125" style="347" customWidth="1"/>
    <col min="17" max="21" width="17.140625" style="347" customWidth="1"/>
    <col min="22" max="16384" width="9.140625" style="347"/>
  </cols>
  <sheetData>
    <row r="2" spans="1:12" x14ac:dyDescent="0.2">
      <c r="A2" s="347" t="s">
        <v>32</v>
      </c>
    </row>
    <row r="3" spans="1:12" x14ac:dyDescent="0.2">
      <c r="A3" s="347" t="s">
        <v>33</v>
      </c>
    </row>
    <row r="6" spans="1:12" x14ac:dyDescent="0.2">
      <c r="A6" s="347" t="s">
        <v>566</v>
      </c>
    </row>
    <row r="10" spans="1:12" x14ac:dyDescent="0.2">
      <c r="G10" s="348"/>
      <c r="H10" s="348">
        <f>'INFORMAÇÃO FINANCEIRA'!$C$12</f>
        <v>2017</v>
      </c>
      <c r="I10" s="348">
        <f>'INFORMAÇÃO FINANCEIRA'!$D$12</f>
        <v>2018</v>
      </c>
      <c r="J10" s="348">
        <f>'INFORMAÇÃO FINANCEIRA'!$E$12</f>
        <v>2019</v>
      </c>
      <c r="K10" s="348">
        <f>'INFORMAÇÃO FINANCEIRA'!$F$12</f>
        <v>2020</v>
      </c>
      <c r="L10" s="348">
        <f>'INFORMAÇÃO FINANCEIRA'!$G$12</f>
        <v>2021</v>
      </c>
    </row>
    <row r="11" spans="1:12" x14ac:dyDescent="0.2">
      <c r="G11" s="348" t="str">
        <f>'INFORMAÇÃO FINANCEIRA'!B74</f>
        <v>Vendas de Bens e Serviços</v>
      </c>
      <c r="H11" s="349">
        <f>'INFORMAÇÃO FINANCEIRA'!C$74</f>
        <v>0</v>
      </c>
      <c r="I11" s="349">
        <f>'INFORMAÇÃO FINANCEIRA'!D$74</f>
        <v>0</v>
      </c>
      <c r="J11" s="349">
        <f>'INFORMAÇÃO FINANCEIRA'!E$74</f>
        <v>0</v>
      </c>
      <c r="K11" s="349">
        <f>'INFORMAÇÃO FINANCEIRA'!F$74</f>
        <v>0</v>
      </c>
      <c r="L11" s="349">
        <f>'INFORMAÇÃO FINANCEIRA'!G$74</f>
        <v>732600</v>
      </c>
    </row>
    <row r="12" spans="1:12" x14ac:dyDescent="0.2">
      <c r="G12" s="348" t="s">
        <v>430</v>
      </c>
      <c r="H12" s="350"/>
      <c r="I12" s="350" t="e">
        <f>I11/H11-1</f>
        <v>#DIV/0!</v>
      </c>
      <c r="J12" s="350" t="e">
        <f>J11/I11-1</f>
        <v>#DIV/0!</v>
      </c>
      <c r="K12" s="350" t="e">
        <f>K11/J11-1</f>
        <v>#DIV/0!</v>
      </c>
      <c r="L12" s="350" t="e">
        <f>L11/K11-1</f>
        <v>#DIV/0!</v>
      </c>
    </row>
    <row r="13" spans="1:12" x14ac:dyDescent="0.2">
      <c r="G13" s="351"/>
      <c r="H13" s="351"/>
      <c r="I13" s="351"/>
      <c r="J13" s="351"/>
      <c r="K13" s="351"/>
      <c r="L13" s="351"/>
    </row>
    <row r="14" spans="1:12" x14ac:dyDescent="0.2">
      <c r="G14" s="348"/>
      <c r="H14" s="348">
        <f>'INFORMAÇÃO FINANCEIRA'!$C$12</f>
        <v>2017</v>
      </c>
      <c r="I14" s="348">
        <f>'INFORMAÇÃO FINANCEIRA'!$D$12</f>
        <v>2018</v>
      </c>
      <c r="J14" s="348">
        <f>'INFORMAÇÃO FINANCEIRA'!$E$12</f>
        <v>2019</v>
      </c>
      <c r="K14" s="348">
        <f>'INFORMAÇÃO FINANCEIRA'!$F$12</f>
        <v>2020</v>
      </c>
      <c r="L14" s="348">
        <f>'INFORMAÇÃO FINANCEIRA'!$G$12</f>
        <v>2021</v>
      </c>
    </row>
    <row r="15" spans="1:12" x14ac:dyDescent="0.2">
      <c r="G15" s="348" t="str">
        <f>'INFORMAÇÃO FINANCEIRA'!B75</f>
        <v>Custo dos Inventários Vendidos ou Consumidos</v>
      </c>
      <c r="H15" s="349">
        <f>-'INFORMAÇÃO FINANCEIRA'!C$75</f>
        <v>0</v>
      </c>
      <c r="I15" s="349">
        <f>-'INFORMAÇÃO FINANCEIRA'!D$75</f>
        <v>0</v>
      </c>
      <c r="J15" s="349">
        <f>-'INFORMAÇÃO FINANCEIRA'!E$75</f>
        <v>0</v>
      </c>
      <c r="K15" s="349">
        <f>-'INFORMAÇÃO FINANCEIRA'!F$75</f>
        <v>0</v>
      </c>
      <c r="L15" s="349">
        <f>-'INFORMAÇÃO FINANCEIRA'!G$75</f>
        <v>0</v>
      </c>
    </row>
    <row r="16" spans="1:12" x14ac:dyDescent="0.2">
      <c r="G16" s="348" t="s">
        <v>430</v>
      </c>
      <c r="H16" s="350"/>
      <c r="I16" s="350" t="e">
        <f>I15/H15-1</f>
        <v>#DIV/0!</v>
      </c>
      <c r="J16" s="350" t="e">
        <f>J15/I15-1</f>
        <v>#DIV/0!</v>
      </c>
      <c r="K16" s="350" t="e">
        <f>K15/J15-1</f>
        <v>#DIV/0!</v>
      </c>
      <c r="L16" s="350" t="e">
        <f>L15/K15-1</f>
        <v>#DIV/0!</v>
      </c>
    </row>
    <row r="17" spans="7:12" x14ac:dyDescent="0.2">
      <c r="G17" s="280"/>
      <c r="H17" s="280"/>
      <c r="I17" s="280"/>
      <c r="J17" s="280"/>
      <c r="K17" s="280"/>
      <c r="L17" s="280"/>
    </row>
    <row r="18" spans="7:12" x14ac:dyDescent="0.2">
      <c r="G18" s="348"/>
      <c r="H18" s="348">
        <f>'INFORMAÇÃO FINANCEIRA'!$C$12</f>
        <v>2017</v>
      </c>
      <c r="I18" s="348">
        <f>'INFORMAÇÃO FINANCEIRA'!$D$12</f>
        <v>2018</v>
      </c>
      <c r="J18" s="348">
        <f>'INFORMAÇÃO FINANCEIRA'!$E$12</f>
        <v>2019</v>
      </c>
      <c r="K18" s="348">
        <f>'INFORMAÇÃO FINANCEIRA'!$F$12</f>
        <v>2020</v>
      </c>
      <c r="L18" s="348">
        <f>'INFORMAÇÃO FINANCEIRA'!$G$12</f>
        <v>2021</v>
      </c>
    </row>
    <row r="19" spans="7:12" x14ac:dyDescent="0.2">
      <c r="G19" s="348" t="str">
        <f>'INFORMAÇÃO FINANCEIRA'!B76</f>
        <v>Gastos com Pessoal</v>
      </c>
      <c r="H19" s="349">
        <f>-'INFORMAÇÃO FINANCEIRA'!C$76</f>
        <v>0</v>
      </c>
      <c r="I19" s="349">
        <f>-'INFORMAÇÃO FINANCEIRA'!D$76</f>
        <v>0</v>
      </c>
      <c r="J19" s="349">
        <f>-'INFORMAÇÃO FINANCEIRA'!E$76</f>
        <v>0</v>
      </c>
      <c r="K19" s="349">
        <f>-'INFORMAÇÃO FINANCEIRA'!F$76</f>
        <v>0</v>
      </c>
      <c r="L19" s="349">
        <f>-'INFORMAÇÃO FINANCEIRA'!G$76</f>
        <v>4935151.17</v>
      </c>
    </row>
    <row r="20" spans="7:12" x14ac:dyDescent="0.2">
      <c r="G20" s="348" t="s">
        <v>430</v>
      </c>
      <c r="H20" s="350"/>
      <c r="I20" s="350" t="e">
        <f>I19/H19-1</f>
        <v>#DIV/0!</v>
      </c>
      <c r="J20" s="350" t="e">
        <f>J19/I19-1</f>
        <v>#DIV/0!</v>
      </c>
      <c r="K20" s="350" t="e">
        <f>K19/J19-1</f>
        <v>#DIV/0!</v>
      </c>
      <c r="L20" s="350" t="e">
        <f>L19/K19-1</f>
        <v>#DIV/0!</v>
      </c>
    </row>
    <row r="21" spans="7:12" x14ac:dyDescent="0.2">
      <c r="G21" s="280"/>
      <c r="H21" s="280"/>
      <c r="I21" s="280"/>
      <c r="J21" s="280"/>
      <c r="K21" s="280"/>
      <c r="L21" s="280"/>
    </row>
    <row r="22" spans="7:12" x14ac:dyDescent="0.2">
      <c r="G22" s="348"/>
      <c r="H22" s="348">
        <f>'INFORMAÇÃO FINANCEIRA'!$C$12</f>
        <v>2017</v>
      </c>
      <c r="I22" s="348">
        <f>'INFORMAÇÃO FINANCEIRA'!$D$12</f>
        <v>2018</v>
      </c>
      <c r="J22" s="348">
        <f>'INFORMAÇÃO FINANCEIRA'!$E$12</f>
        <v>2019</v>
      </c>
      <c r="K22" s="348">
        <f>'INFORMAÇÃO FINANCEIRA'!$F$12</f>
        <v>2020</v>
      </c>
      <c r="L22" s="348">
        <f>'INFORMAÇÃO FINANCEIRA'!$G$12</f>
        <v>2021</v>
      </c>
    </row>
    <row r="23" spans="7:12" x14ac:dyDescent="0.2">
      <c r="G23" s="348" t="str">
        <f>'INFORMAÇÃO FINANCEIRA'!B77</f>
        <v>Fornecimentos e Serviços de Terceiros</v>
      </c>
      <c r="H23" s="349">
        <f>-'INFORMAÇÃO FINANCEIRA'!C$77</f>
        <v>0</v>
      </c>
      <c r="I23" s="349">
        <f>-'INFORMAÇÃO FINANCEIRA'!D$77</f>
        <v>0</v>
      </c>
      <c r="J23" s="349">
        <f>-'INFORMAÇÃO FINANCEIRA'!E$77</f>
        <v>0</v>
      </c>
      <c r="K23" s="349">
        <f>-'INFORMAÇÃO FINANCEIRA'!F$77</f>
        <v>0</v>
      </c>
      <c r="L23" s="349">
        <f>-'INFORMAÇÃO FINANCEIRA'!G$77</f>
        <v>1778819.48</v>
      </c>
    </row>
    <row r="24" spans="7:12" x14ac:dyDescent="0.2">
      <c r="G24" s="348" t="s">
        <v>430</v>
      </c>
      <c r="H24" s="350"/>
      <c r="I24" s="350" t="e">
        <f>I23/H23-1</f>
        <v>#DIV/0!</v>
      </c>
      <c r="J24" s="350" t="e">
        <f>J23/I23-1</f>
        <v>#DIV/0!</v>
      </c>
      <c r="K24" s="350" t="e">
        <f>K23/J23-1</f>
        <v>#DIV/0!</v>
      </c>
      <c r="L24" s="350" t="e">
        <f>L23/K23-1</f>
        <v>#DIV/0!</v>
      </c>
    </row>
    <row r="25" spans="7:12" x14ac:dyDescent="0.2">
      <c r="G25" s="280"/>
      <c r="H25" s="280"/>
      <c r="I25" s="280"/>
      <c r="J25" s="280"/>
      <c r="K25" s="280"/>
      <c r="L25" s="280"/>
    </row>
    <row r="26" spans="7:12" x14ac:dyDescent="0.2">
      <c r="G26" s="348"/>
      <c r="H26" s="348">
        <f>'INFORMAÇÃO FINANCEIRA'!$C$12</f>
        <v>2017</v>
      </c>
      <c r="I26" s="348">
        <f>'INFORMAÇÃO FINANCEIRA'!$D$12</f>
        <v>2018</v>
      </c>
      <c r="J26" s="348">
        <f>'INFORMAÇÃO FINANCEIRA'!$E$12</f>
        <v>2019</v>
      </c>
      <c r="K26" s="348">
        <f>'INFORMAÇÃO FINANCEIRA'!$F$12</f>
        <v>2020</v>
      </c>
      <c r="L26" s="348">
        <f>'INFORMAÇÃO FINANCEIRA'!$G$12</f>
        <v>2021</v>
      </c>
    </row>
    <row r="27" spans="7:12" x14ac:dyDescent="0.2">
      <c r="G27" s="348" t="str">
        <f>'INFORMAÇÃO FINANCEIRA'!B78</f>
        <v>Depreciações e Amortizações</v>
      </c>
      <c r="H27" s="349">
        <f>-'INFORMAÇÃO FINANCEIRA'!C$78</f>
        <v>0</v>
      </c>
      <c r="I27" s="349">
        <f>-'INFORMAÇÃO FINANCEIRA'!D$78</f>
        <v>0</v>
      </c>
      <c r="J27" s="349">
        <f>-'INFORMAÇÃO FINANCEIRA'!E$78</f>
        <v>0</v>
      </c>
      <c r="K27" s="349">
        <f>-'INFORMAÇÃO FINANCEIRA'!F$78</f>
        <v>0</v>
      </c>
      <c r="L27" s="349">
        <f>-'INFORMAÇÃO FINANCEIRA'!G$78</f>
        <v>0</v>
      </c>
    </row>
    <row r="28" spans="7:12" x14ac:dyDescent="0.2">
      <c r="G28" s="348" t="s">
        <v>430</v>
      </c>
      <c r="H28" s="350"/>
      <c r="I28" s="350" t="e">
        <f>I27/H27-1</f>
        <v>#DIV/0!</v>
      </c>
      <c r="J28" s="350" t="e">
        <f>J27/I27-1</f>
        <v>#DIV/0!</v>
      </c>
      <c r="K28" s="350" t="e">
        <f>K27/J27-1</f>
        <v>#DIV/0!</v>
      </c>
      <c r="L28" s="350" t="e">
        <f>L27/K27-1</f>
        <v>#DIV/0!</v>
      </c>
    </row>
    <row r="29" spans="7:12" x14ac:dyDescent="0.2">
      <c r="G29" s="280"/>
      <c r="H29" s="280"/>
      <c r="I29" s="280"/>
      <c r="J29" s="280"/>
      <c r="K29" s="280"/>
      <c r="L29" s="280"/>
    </row>
    <row r="30" spans="7:12" x14ac:dyDescent="0.2">
      <c r="G30" s="348"/>
      <c r="H30" s="348">
        <f>'INFORMAÇÃO FINANCEIRA'!$C$12</f>
        <v>2017</v>
      </c>
      <c r="I30" s="348">
        <f>'INFORMAÇÃO FINANCEIRA'!$D$12</f>
        <v>2018</v>
      </c>
      <c r="J30" s="348">
        <f>'INFORMAÇÃO FINANCEIRA'!$E$12</f>
        <v>2019</v>
      </c>
      <c r="K30" s="348">
        <f>'INFORMAÇÃO FINANCEIRA'!$F$12</f>
        <v>2020</v>
      </c>
      <c r="L30" s="348">
        <f>'INFORMAÇÃO FINANCEIRA'!$G$12</f>
        <v>2021</v>
      </c>
    </row>
    <row r="31" spans="7:12" x14ac:dyDescent="0.2">
      <c r="G31" s="348" t="s">
        <v>431</v>
      </c>
      <c r="H31" s="349">
        <f>'INFORMAÇÃO FINANCEIRA'!C$103</f>
        <v>0</v>
      </c>
      <c r="I31" s="349">
        <f>'INFORMAÇÃO FINANCEIRA'!D$103</f>
        <v>0</v>
      </c>
      <c r="J31" s="349">
        <f>'INFORMAÇÃO FINANCEIRA'!E$103</f>
        <v>0</v>
      </c>
      <c r="K31" s="349">
        <f>'INFORMAÇÃO FINANCEIRA'!F$103</f>
        <v>0</v>
      </c>
      <c r="L31" s="349">
        <f>'INFORMAÇÃO FINANCEIRA'!G$103</f>
        <v>-6389685.54</v>
      </c>
    </row>
    <row r="32" spans="7:12" x14ac:dyDescent="0.2">
      <c r="G32" s="348" t="s">
        <v>430</v>
      </c>
      <c r="H32" s="350"/>
      <c r="I32" s="350" t="e">
        <f>I31/H31-1</f>
        <v>#DIV/0!</v>
      </c>
      <c r="J32" s="350" t="e">
        <f>J31/I31-1</f>
        <v>#DIV/0!</v>
      </c>
      <c r="K32" s="350" t="e">
        <f>K31/J31-1</f>
        <v>#DIV/0!</v>
      </c>
      <c r="L32" s="350" t="e">
        <f>L31/K31-1</f>
        <v>#DIV/0!</v>
      </c>
    </row>
    <row r="33" spans="7:21" x14ac:dyDescent="0.2">
      <c r="G33" s="280"/>
      <c r="H33" s="280"/>
      <c r="I33" s="280"/>
      <c r="J33" s="280"/>
      <c r="K33" s="280"/>
      <c r="L33" s="280"/>
    </row>
    <row r="34" spans="7:21" x14ac:dyDescent="0.2">
      <c r="G34" s="348"/>
      <c r="H34" s="348">
        <f>'INFORMAÇÃO FINANCEIRA'!$C$12</f>
        <v>2017</v>
      </c>
      <c r="I34" s="348">
        <f>'INFORMAÇÃO FINANCEIRA'!$D$12</f>
        <v>2018</v>
      </c>
      <c r="J34" s="348">
        <f>'INFORMAÇÃO FINANCEIRA'!$E$12</f>
        <v>2019</v>
      </c>
      <c r="K34" s="348">
        <f>'INFORMAÇÃO FINANCEIRA'!$F$12</f>
        <v>2020</v>
      </c>
      <c r="L34" s="348">
        <f>'INFORMAÇÃO FINANCEIRA'!$G$12</f>
        <v>2021</v>
      </c>
    </row>
    <row r="35" spans="7:21" x14ac:dyDescent="0.2">
      <c r="G35" s="348" t="s">
        <v>162</v>
      </c>
      <c r="H35" s="349">
        <f>'INFORMAÇÃO FINANCEIRA'!C$105</f>
        <v>0</v>
      </c>
      <c r="I35" s="349">
        <f>'INFORMAÇÃO FINANCEIRA'!D$105</f>
        <v>0</v>
      </c>
      <c r="J35" s="349">
        <f>'INFORMAÇÃO FINANCEIRA'!E$105</f>
        <v>0</v>
      </c>
      <c r="K35" s="349">
        <f>'INFORMAÇÃO FINANCEIRA'!F$105</f>
        <v>0</v>
      </c>
      <c r="L35" s="349">
        <f>'INFORMAÇÃO FINANCEIRA'!G$105</f>
        <v>-20194.29</v>
      </c>
    </row>
    <row r="36" spans="7:21" x14ac:dyDescent="0.2">
      <c r="G36" s="348" t="s">
        <v>430</v>
      </c>
      <c r="H36" s="350"/>
      <c r="I36" s="350" t="e">
        <f>I35/H35-1</f>
        <v>#DIV/0!</v>
      </c>
      <c r="J36" s="350" t="e">
        <f>J35/I35-1</f>
        <v>#DIV/0!</v>
      </c>
      <c r="K36" s="350" t="e">
        <f>K35/J35-1</f>
        <v>#DIV/0!</v>
      </c>
      <c r="L36" s="350" t="e">
        <f>L35/K35-1</f>
        <v>#DIV/0!</v>
      </c>
    </row>
    <row r="37" spans="7:21" x14ac:dyDescent="0.2">
      <c r="G37" s="280"/>
      <c r="H37" s="280"/>
      <c r="I37" s="280"/>
      <c r="J37" s="280"/>
      <c r="K37" s="280"/>
      <c r="L37" s="280"/>
    </row>
    <row r="38" spans="7:21" x14ac:dyDescent="0.2">
      <c r="G38" s="348"/>
      <c r="H38" s="348">
        <f>'INFORMAÇÃO FINANCEIRA'!$C$12</f>
        <v>2017</v>
      </c>
      <c r="I38" s="348">
        <f>'INFORMAÇÃO FINANCEIRA'!$D$12</f>
        <v>2018</v>
      </c>
      <c r="J38" s="348">
        <f>'INFORMAÇÃO FINANCEIRA'!$E$12</f>
        <v>2019</v>
      </c>
      <c r="K38" s="348">
        <f>'INFORMAÇÃO FINANCEIRA'!$F$12</f>
        <v>2020</v>
      </c>
      <c r="L38" s="348">
        <f>'INFORMAÇÃO FINANCEIRA'!$G$12</f>
        <v>2021</v>
      </c>
    </row>
    <row r="39" spans="7:21" x14ac:dyDescent="0.25">
      <c r="G39" s="348" t="s">
        <v>165</v>
      </c>
      <c r="H39" s="349">
        <f>'INFORMAÇÃO FINANCEIRA'!C$108</f>
        <v>0</v>
      </c>
      <c r="I39" s="349">
        <f>'INFORMAÇÃO FINANCEIRA'!D$108</f>
        <v>0</v>
      </c>
      <c r="J39" s="349">
        <f>'INFORMAÇÃO FINANCEIRA'!E$108</f>
        <v>0</v>
      </c>
      <c r="K39" s="349">
        <f>'INFORMAÇÃO FINANCEIRA'!F$108</f>
        <v>0</v>
      </c>
      <c r="L39" s="349">
        <f>'INFORMAÇÃO FINANCEIRA'!G$108</f>
        <v>-6409879.8300000001</v>
      </c>
    </row>
    <row r="40" spans="7:21" x14ac:dyDescent="0.2">
      <c r="G40" s="348" t="s">
        <v>430</v>
      </c>
      <c r="H40" s="350"/>
      <c r="I40" s="350" t="e">
        <f>I39/H39-1</f>
        <v>#DIV/0!</v>
      </c>
      <c r="J40" s="350" t="e">
        <f>J39/I39-1</f>
        <v>#DIV/0!</v>
      </c>
      <c r="K40" s="350" t="e">
        <f>K39/J39-1</f>
        <v>#DIV/0!</v>
      </c>
      <c r="L40" s="350" t="e">
        <f>L39/K39-1</f>
        <v>#DIV/0!</v>
      </c>
    </row>
    <row r="48" spans="7:21" x14ac:dyDescent="0.2">
      <c r="P48" s="352"/>
      <c r="Q48" s="353">
        <f>'INFORMAÇÃO FINANCEIRA'!F12</f>
        <v>2020</v>
      </c>
      <c r="R48" s="352"/>
      <c r="S48" s="352"/>
      <c r="T48" s="353">
        <f>'INFORMAÇÃO FINANCEIRA'!G12</f>
        <v>2021</v>
      </c>
      <c r="U48" s="352"/>
    </row>
    <row r="49" spans="16:21" x14ac:dyDescent="0.2">
      <c r="P49" s="352"/>
      <c r="Q49" s="352" t="s">
        <v>460</v>
      </c>
      <c r="R49" s="352" t="s">
        <v>461</v>
      </c>
      <c r="S49" s="352"/>
      <c r="T49" s="352" t="s">
        <v>460</v>
      </c>
      <c r="U49" s="352" t="s">
        <v>461</v>
      </c>
    </row>
    <row r="50" spans="16:21" x14ac:dyDescent="0.2">
      <c r="P50" s="352" t="s">
        <v>462</v>
      </c>
      <c r="Q50" s="354">
        <f>'INFORMAÇÃO FINANCEIRA'!F27</f>
        <v>0</v>
      </c>
      <c r="R50" s="352"/>
      <c r="S50" s="352"/>
      <c r="T50" s="354">
        <f>'INFORMAÇÃO FINANCEIRA'!G27</f>
        <v>-1700349.72</v>
      </c>
      <c r="U50" s="352"/>
    </row>
    <row r="51" spans="16:21" x14ac:dyDescent="0.25">
      <c r="P51" s="352" t="s">
        <v>463</v>
      </c>
      <c r="Q51" s="354">
        <f>'INFORMAÇÃO FINANCEIRA'!F16</f>
        <v>0</v>
      </c>
      <c r="R51" s="352"/>
      <c r="S51" s="352"/>
      <c r="T51" s="354">
        <f>'INFORMAÇÃO FINANCEIRA'!G16</f>
        <v>65494.89</v>
      </c>
      <c r="U51" s="352"/>
    </row>
    <row r="52" spans="16:21" x14ac:dyDescent="0.25">
      <c r="P52" s="352" t="s">
        <v>464</v>
      </c>
      <c r="Q52" s="352"/>
      <c r="R52" s="354">
        <f>'INFORMAÇÃO FINANCEIRA'!F56</f>
        <v>0</v>
      </c>
      <c r="S52" s="354"/>
      <c r="T52" s="352"/>
      <c r="U52" s="354">
        <f>'INFORMAÇÃO FINANCEIRA'!G56</f>
        <v>4042425.0500000003</v>
      </c>
    </row>
    <row r="53" spans="16:21" x14ac:dyDescent="0.25">
      <c r="P53" s="352" t="s">
        <v>465</v>
      </c>
      <c r="Q53" s="352"/>
      <c r="R53" s="354">
        <f>'INFORMAÇÃO FINANCEIRA'!F50</f>
        <v>0</v>
      </c>
      <c r="S53" s="354"/>
      <c r="T53" s="352"/>
      <c r="U53" s="354">
        <f>'INFORMAÇÃO FINANCEIRA'!G50</f>
        <v>0</v>
      </c>
    </row>
    <row r="54" spans="16:21" x14ac:dyDescent="0.25">
      <c r="P54" s="352" t="s">
        <v>466</v>
      </c>
      <c r="Q54" s="352"/>
      <c r="R54" s="354">
        <f>'INFORMAÇÃO FINANCEIRA'!F48</f>
        <v>0</v>
      </c>
      <c r="S54" s="354"/>
      <c r="T54" s="352"/>
      <c r="U54" s="354">
        <f>'INFORMAÇÃO FINANCEIRA'!G48</f>
        <v>-6409879.8300000001</v>
      </c>
    </row>
    <row r="55" spans="16:21" x14ac:dyDescent="0.25">
      <c r="P55" s="352"/>
      <c r="Q55" s="354">
        <f>SUM(Q50:Q54)</f>
        <v>0</v>
      </c>
      <c r="R55" s="354">
        <f>SUM(R50:R54)</f>
        <v>0</v>
      </c>
      <c r="S55" s="354"/>
      <c r="T55" s="354">
        <f>SUM(T50:T54)</f>
        <v>-1634854.83</v>
      </c>
      <c r="U55" s="354">
        <f>SUM(U50:U54)</f>
        <v>-2367454.7799999998</v>
      </c>
    </row>
    <row r="56" spans="16:21" x14ac:dyDescent="0.25">
      <c r="P56" s="352"/>
      <c r="Q56" s="352"/>
      <c r="R56" s="352"/>
      <c r="S56" s="352"/>
      <c r="T56" s="352"/>
      <c r="U56" s="352"/>
    </row>
    <row r="57" spans="16:21" x14ac:dyDescent="0.25">
      <c r="P57" s="352"/>
      <c r="Q57" s="353">
        <f>Q48</f>
        <v>2020</v>
      </c>
      <c r="R57" s="352"/>
      <c r="S57" s="352"/>
      <c r="T57" s="353">
        <f>T48</f>
        <v>2021</v>
      </c>
      <c r="U57" s="352"/>
    </row>
    <row r="58" spans="16:21" x14ac:dyDescent="0.25">
      <c r="P58" s="352"/>
      <c r="Q58" s="352" t="s">
        <v>460</v>
      </c>
      <c r="R58" s="352" t="s">
        <v>461</v>
      </c>
      <c r="S58" s="352"/>
      <c r="T58" s="352" t="s">
        <v>460</v>
      </c>
      <c r="U58" s="352" t="s">
        <v>461</v>
      </c>
    </row>
    <row r="59" spans="16:21" x14ac:dyDescent="0.25">
      <c r="P59" s="352" t="s">
        <v>462</v>
      </c>
      <c r="Q59" s="355" t="e">
        <f>Q50/Q55</f>
        <v>#DIV/0!</v>
      </c>
      <c r="R59" s="355"/>
      <c r="S59" s="355"/>
      <c r="T59" s="355">
        <f>T50/T55</f>
        <v>1.0400615937257254</v>
      </c>
      <c r="U59" s="355"/>
    </row>
    <row r="60" spans="16:21" x14ac:dyDescent="0.25">
      <c r="P60" s="352" t="s">
        <v>463</v>
      </c>
      <c r="Q60" s="355" t="e">
        <f>Q51/Q55</f>
        <v>#DIV/0!</v>
      </c>
      <c r="R60" s="355"/>
      <c r="S60" s="355"/>
      <c r="T60" s="355">
        <f>T51/T55</f>
        <v>-4.0061593725725479E-2</v>
      </c>
      <c r="U60" s="355"/>
    </row>
    <row r="61" spans="16:21" x14ac:dyDescent="0.25">
      <c r="P61" s="352" t="s">
        <v>464</v>
      </c>
      <c r="Q61" s="355"/>
      <c r="R61" s="355" t="e">
        <f>R52/R55</f>
        <v>#DIV/0!</v>
      </c>
      <c r="S61" s="355"/>
      <c r="T61" s="355"/>
      <c r="U61" s="355">
        <f>U52/U55</f>
        <v>-1.7074983159762827</v>
      </c>
    </row>
    <row r="62" spans="16:21" x14ac:dyDescent="0.25">
      <c r="P62" s="352" t="s">
        <v>465</v>
      </c>
      <c r="Q62" s="355"/>
      <c r="R62" s="355" t="e">
        <f>R53/R55</f>
        <v>#DIV/0!</v>
      </c>
      <c r="S62" s="355"/>
      <c r="T62" s="355"/>
      <c r="U62" s="355">
        <f>U53/U55</f>
        <v>0</v>
      </c>
    </row>
    <row r="63" spans="16:21" x14ac:dyDescent="0.25">
      <c r="P63" s="352" t="s">
        <v>466</v>
      </c>
      <c r="Q63" s="355"/>
      <c r="R63" s="355" t="e">
        <f>R54/R55</f>
        <v>#DIV/0!</v>
      </c>
      <c r="S63" s="355"/>
      <c r="T63" s="355"/>
      <c r="U63" s="355">
        <f>U54/U55</f>
        <v>2.7074983159762827</v>
      </c>
    </row>
    <row r="64" spans="16:21" x14ac:dyDescent="0.25">
      <c r="P64" s="352"/>
      <c r="Q64" s="352"/>
      <c r="R64" s="352"/>
      <c r="S64" s="352"/>
      <c r="T64" s="352"/>
      <c r="U64" s="352"/>
    </row>
  </sheetData>
  <sheetProtection algorithmName="SHA-512" hashValue="kLJF3JhRHaTsKjz2eHYfDBzt0LOMMmyhkysquPNUoKf25zyY3QL/w6twE+nPFsccpCs/uaK2RsUcBzyWwY4TZA==" saltValue="PQ27lneR8MzkxMTN0/HQ2g==" spinCount="100000" sheet="1" objects="1" scenarios="1" sort="0" autoFilter="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37</vt:i4>
      </vt:variant>
      <vt:variant>
        <vt:lpstr>Intervalos com Nome</vt:lpstr>
      </vt:variant>
      <vt:variant>
        <vt:i4>34</vt:i4>
      </vt:variant>
    </vt:vector>
  </HeadingPairs>
  <TitlesOfParts>
    <vt:vector size="71" baseType="lpstr">
      <vt:lpstr>COVER</vt:lpstr>
      <vt:lpstr>ÍNDICE</vt:lpstr>
      <vt:lpstr>IDENTIFICAÇÃO</vt:lpstr>
      <vt:lpstr>MISSÃO-VISÃO-VALORES</vt:lpstr>
      <vt:lpstr>ESTRUTURA SOCIETÁRIA</vt:lpstr>
      <vt:lpstr>ÓRGÃOS SOCIAIS</vt:lpstr>
      <vt:lpstr>ORGANIGRAMA</vt:lpstr>
      <vt:lpstr>INFORMAÇÃO ESTATÍSTICA</vt:lpstr>
      <vt:lpstr>DETALHE GANHOS E GASTOS</vt:lpstr>
      <vt:lpstr>INFORMAÇÃO FINANCEIRA</vt:lpstr>
      <vt:lpstr>GRÁFICOS</vt:lpstr>
      <vt:lpstr>ESTRUTURA DE BALANÇO</vt:lpstr>
      <vt:lpstr>DETALHE FST</vt:lpstr>
      <vt:lpstr>ENDIVIDAMENTO</vt:lpstr>
      <vt:lpstr>DETALHE EMPRÉSTIMOS</vt:lpstr>
      <vt:lpstr>GARANTIAS E RESPONSABILIDADES</vt:lpstr>
      <vt:lpstr>DIVIDENDOS</vt:lpstr>
      <vt:lpstr>IMPOSTOS</vt:lpstr>
      <vt:lpstr>PARTICIPAÇÕES FINANCEIRAS</vt:lpstr>
      <vt:lpstr>INFO REL. GESTÃO</vt:lpstr>
      <vt:lpstr>ASSEMBLEIAS GERAIS</vt:lpstr>
      <vt:lpstr>RELAT. AUDITOR INDEPENDENTE</vt:lpstr>
      <vt:lpstr>RELAT. CONSELHO FISCAL</vt:lpstr>
      <vt:lpstr>PLANO ESTRATÉGICO</vt:lpstr>
      <vt:lpstr>PLANO ORÇAMENTAL</vt:lpstr>
      <vt:lpstr>MAIORES VAR. ORÇAM.</vt:lpstr>
      <vt:lpstr>ORÇAMENTO DE INVESTIMENTOS</vt:lpstr>
      <vt:lpstr>ANÁLISE DUPONT</vt:lpstr>
      <vt:lpstr>RÁCIOS</vt:lpstr>
      <vt:lpstr>MATRIZ DE DESEMPENHO</vt:lpstr>
      <vt:lpstr>DETALHE GANHOS E GASTOS MENSAL</vt:lpstr>
      <vt:lpstr>INFORMAÇÃO FINANCEIRA MENSAL</vt:lpstr>
      <vt:lpstr>GRÁFICOS MENSAL</vt:lpstr>
      <vt:lpstr>Sheet1</vt:lpstr>
      <vt:lpstr>ESTRUTURA DE BALANÇO MENSAL</vt:lpstr>
      <vt:lpstr>DETALHE FST MENSAL</vt:lpstr>
      <vt:lpstr>DOCUMENTOS DE MONITORIA</vt:lpstr>
      <vt:lpstr>'ANÁLISE DUPONT'!Área_de_Impressão</vt:lpstr>
      <vt:lpstr>'ASSEMBLEIAS GERAIS'!Área_de_Impressão</vt:lpstr>
      <vt:lpstr>'DETALHE EMPRÉSTIMOS'!Área_de_Impressão</vt:lpstr>
      <vt:lpstr>'DETALHE FST'!Área_de_Impressão</vt:lpstr>
      <vt:lpstr>'DETALHE FST MENSAL'!Área_de_Impressão</vt:lpstr>
      <vt:lpstr>'DETALHE GANHOS E GASTOS'!Área_de_Impressão</vt:lpstr>
      <vt:lpstr>'DETALHE GANHOS E GASTOS MENSAL'!Área_de_Impressão</vt:lpstr>
      <vt:lpstr>DIVIDENDOS!Área_de_Impressão</vt:lpstr>
      <vt:lpstr>'DOCUMENTOS DE MONITORIA'!Área_de_Impressão</vt:lpstr>
      <vt:lpstr>ENDIVIDAMENTO!Área_de_Impressão</vt:lpstr>
      <vt:lpstr>'ESTRUTURA DE BALANÇO'!Área_de_Impressão</vt:lpstr>
      <vt:lpstr>'ESTRUTURA DE BALANÇO MENSAL'!Área_de_Impressão</vt:lpstr>
      <vt:lpstr>'ESTRUTURA SOCIETÁRIA'!Área_de_Impressão</vt:lpstr>
      <vt:lpstr>'GARANTIAS E RESPONSABILIDADES'!Área_de_Impressão</vt:lpstr>
      <vt:lpstr>GRÁFICOS!Área_de_Impressão</vt:lpstr>
      <vt:lpstr>'GRÁFICOS MENSAL'!Área_de_Impressão</vt:lpstr>
      <vt:lpstr>IDENTIFICAÇÃO!Área_de_Impressão</vt:lpstr>
      <vt:lpstr>IMPOSTOS!Área_de_Impressão</vt:lpstr>
      <vt:lpstr>'INFO REL. GESTÃO'!Área_de_Impressão</vt:lpstr>
      <vt:lpstr>'INFORMAÇÃO ESTATÍSTICA'!Área_de_Impressão</vt:lpstr>
      <vt:lpstr>'INFORMAÇÃO FINANCEIRA'!Área_de_Impressão</vt:lpstr>
      <vt:lpstr>'INFORMAÇÃO FINANCEIRA MENSAL'!Área_de_Impressão</vt:lpstr>
      <vt:lpstr>'MAIORES VAR. ORÇAM.'!Área_de_Impressão</vt:lpstr>
      <vt:lpstr>'MATRIZ DE DESEMPENHO'!Área_de_Impressão</vt:lpstr>
      <vt:lpstr>'MISSÃO-VISÃO-VALORES'!Área_de_Impressão</vt:lpstr>
      <vt:lpstr>'ORÇAMENTO DE INVESTIMENTOS'!Área_de_Impressão</vt:lpstr>
      <vt:lpstr>ORGANIGRAMA!Área_de_Impressão</vt:lpstr>
      <vt:lpstr>'ÓRGÃOS SOCIAIS'!Área_de_Impressão</vt:lpstr>
      <vt:lpstr>'PARTICIPAÇÕES FINANCEIRAS'!Área_de_Impressão</vt:lpstr>
      <vt:lpstr>'PLANO ESTRATÉGICO'!Área_de_Impressão</vt:lpstr>
      <vt:lpstr>'PLANO ORÇAMENTAL'!Área_de_Impressão</vt:lpstr>
      <vt:lpstr>RÁCIOS!Área_de_Impressão</vt:lpstr>
      <vt:lpstr>'RELAT. AUDITOR INDEPENDENTE'!Área_de_Impressão</vt:lpstr>
      <vt:lpstr>'RELAT. CONSELHO FISCAL'!Área_de_Impressão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Rogério Costa</dc:creator>
  <cp:lastModifiedBy>DAFL Moçambique .</cp:lastModifiedBy>
  <cp:lastPrinted>2021-12-09T16:09:05Z</cp:lastPrinted>
  <dcterms:created xsi:type="dcterms:W3CDTF">2021-05-11T22:04:37Z</dcterms:created>
  <dcterms:modified xsi:type="dcterms:W3CDTF">2026-03-30T06:20:43Z</dcterms:modified>
</cp:coreProperties>
</file>